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aec924090640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618f6b83317d4feb"/>
    <x:sheet xmlns:r="http://schemas.openxmlformats.org/officeDocument/2006/relationships" name="Expert_A" sheetId="2" r:id="R8121960676b14faf"/>
    <x:sheet xmlns:r="http://schemas.openxmlformats.org/officeDocument/2006/relationships" name="Expert_B" sheetId="3" r:id="R6c410d169ab7426c"/>
    <x:sheet xmlns:r="http://schemas.openxmlformats.org/officeDocument/2006/relationships" name="Reconciliation" sheetId="4" r:id="R7367ddb69559490f"/>
    <x:sheet xmlns:r="http://schemas.openxmlformats.org/officeDocument/2006/relationships" name="ELCD_Catalog" sheetId="5" r:id="R73f4eb43bba345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5">
    <x:font>
      <x:sz val="11"/>
      <x:name val="Carlito"/>
    </x:font>
    <x:font>
      <x:b/>
      <x:sz val="14"/>
      <x:color rgb="FFFFFFFF"/>
      <x:name val="Carlito"/>
    </x:font>
    <x:font>
      <x:b/>
      <x:sz val="11"/>
      <x:name val="Carlito"/>
    </x:font>
    <x:font>
      <x:b/>
      <x:sz val="11"/>
      <x:color rgb="FF1F1F1F"/>
      <x:name val="Carlito"/>
    </x:font>
    <x:font>
      <x:b/>
      <x:sz val="11"/>
      <x:color rgb="FFFFFFFF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DDEBF7"/>
      </x:patternFill>
    </x:fill>
  </x:fills>
  <x:borders count="10">
    <x:border/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bottom style="hair">
        <x:color rgb="FFD9D9D9"/>
      </x:bottom>
    </x:border>
    <x:border>
      <x:bottom style="hair">
        <x:color rgb="FFD9D9D9"/>
      </x:bottom>
    </x:border>
    <x:border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horizontal="center" wrapText="1"/>
    </x:xf>
    <x:xf numFmtId="0" fontId="3" fillId="3" borderId="3" xfId="0" applyNumberFormat="1" applyFont="1" applyFill="1" applyBorder="1" applyAlignment="1">
      <x:alignment horizont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4" xfId="0" applyNumberFormat="1" applyFont="1" applyFill="1" applyBorder="1"/>
    <x:xf numFmtId="0" fontId="3" fillId="3" borderId="5" xfId="0" applyNumberFormat="1" applyFont="1" applyFill="1" applyBorder="1"/>
    <x:xf numFmtId="0" fontId="3" fillId="3" borderId="4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wrapText="1"/>
    </x:xf>
    <x:xf numFmtId="0" fontId="3" fillId="3" borderId="4" xfId="0" applyNumberFormat="1" applyFont="1" applyFill="1" applyBorder="1" applyAlignment="1">
      <x:alignment horizontal="center" wrapText="1"/>
    </x:xf>
    <x:xf numFmtId="0" fontId="3" fillId="3" borderId="5" xfId="0" applyNumberFormat="1" applyFont="1" applyFill="1" applyBorder="1" applyAlignment="1">
      <x:alignment horizontal="center" wrapText="1"/>
    </x:xf>
    <x:xf numFmtId="0" fontId="3" fillId="3" borderId="4" xfId="0" applyNumberFormat="1" applyFont="1" applyFill="1" applyBorder="1" applyAlignment="1">
      <x:alignment horizontal="center" vertical="center" wrapText="1"/>
    </x:xf>
    <x:xf numFmtId="0" fontId="3" fillId="3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3" fillId="3" borderId="8" xfId="0" applyNumberFormat="1" applyFont="1" applyFill="1" applyBorder="1"/>
    <x:xf numFmtId="0" fontId="3" fillId="3" borderId="8" xfId="0" applyNumberFormat="1" applyFont="1" applyFill="1" applyBorder="1" applyAlignment="1">
      <x:alignment wrapText="1"/>
    </x:xf>
    <x:xf numFmtId="0" fontId="3" fillId="3" borderId="8" xfId="0" applyNumberFormat="1" applyFont="1" applyFill="1" applyBorder="1" applyAlignment="1">
      <x:alignment horizontal="center" wrapText="1"/>
    </x:xf>
    <x:xf numFmtId="0" fontId="3" fillId="3" borderId="8" xfId="0" applyNumberFormat="1" applyFont="1" applyFill="1" applyBorder="1" applyAlignment="1">
      <x:alignment horizontal="center" vertical="center" wrapText="1"/>
    </x:xf>
    <x:xf numFmtId="0" fontId="3" fillId="3" borderId="9" xfId="0" applyNumberFormat="1" applyFont="1" applyFill="1" applyBorder="1"/>
    <x:xf numFmtId="0" fontId="3" fillId="3" borderId="9" xfId="0" applyNumberFormat="1" applyFont="1" applyFill="1" applyBorder="1" applyAlignment="1">
      <x:alignment wrapText="1"/>
    </x:xf>
    <x:xf numFmtId="0" fontId="3" fillId="3" borderId="9" xfId="0" applyNumberFormat="1" applyFont="1" applyFill="1" applyBorder="1" applyAlignment="1">
      <x:alignment horizontal="center" wrapText="1"/>
    </x:xf>
    <x:xf numFmtId="0" fontId="3" fillId="3" borderId="9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5" borderId="7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top" wrapText="1"/>
    </x:xf>
    <x:xf numFmtId="0" fontId="0" fillId="8" borderId="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9" borderId="6" xfId="0" applyNumberFormat="1" applyFont="1" applyFill="1" applyBorder="1" applyAlignment="1">
      <x:alignment vertical="top" wrapText="1"/>
    </x:xf>
    <x:xf numFmtId="0" fontId="2" fillId="10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horizontal="center"/>
    </x:xf>
    <x:xf numFmtId="0" fontId="1" fillId="6" borderId="0" xfId="0" applyNumberFormat="1" applyFont="1" applyFill="1" applyBorder="1" applyAlignment="1">
      <x:alignment horizontal="center" vertical="center"/>
    </x:xf>
    <x:xf numFmtId="0" fontId="3" fillId="7" borderId="2" xfId="0" applyNumberFormat="1" applyFont="1" applyFill="1" applyBorder="1" applyAlignment="1">
      <x:alignment horizontal="center" vertical="center" wrapText="1"/>
    </x:xf>
    <x:xf numFmtId="0" fontId="3" fillId="7" borderId="3" xfId="0" applyNumberFormat="1" applyFont="1" applyFill="1" applyBorder="1" applyAlignment="1">
      <x:alignment horizontal="center" vertical="center" wrapText="1"/>
    </x:xf>
    <x:xf numFmtId="0" fontId="3" fillId="7" borderId="8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 applyAlignment="1">
      <x:alignment vertical="top" wrapText="1"/>
    </x:xf>
    <x:xf numFmtId="0" fontId="0" fillId="11" borderId="6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0" fillId="12" borderId="6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</x:font>
      <x:fill>
        <x:patternFill>
          <x:bgColor rgb="FFE2F0D9"/>
        </x:patternFill>
      </x:fill>
    </x:dxf>
    <x:dxf>
      <x:font>
        <x:b/>
      </x:font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ont>
        <x:b/>
      </x:font>
      <x:fill>
        <x:patternFill patternType="solid">
          <x:bgColor rgb="FFE2F0D9"/>
        </x:patternFill>
      </x:fill>
    </x:dxf>
    <x:dxf>
      <x:font>
        <x:b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ed5f240c3a4098" /><Relationship Type="http://schemas.openxmlformats.org/officeDocument/2006/relationships/theme" Target="/xl/theme/theme1.xml" Id="Ra5396eb042b446af" /><Relationship Type="http://schemas.openxmlformats.org/officeDocument/2006/relationships/sharedStrings" Target="/xl/sharedStrings.xml" Id="Rfb347f804daa448f" /><Relationship Type="http://schemas.openxmlformats.org/officeDocument/2006/relationships/worksheet" Target="/xl/worksheets/sheet1.xml" Id="R618f6b83317d4feb" /><Relationship Type="http://schemas.openxmlformats.org/officeDocument/2006/relationships/worksheet" Target="/xl/worksheets/sheet2.xml" Id="R8121960676b14faf" /><Relationship Type="http://schemas.openxmlformats.org/officeDocument/2006/relationships/worksheet" Target="/xl/worksheets/sheet3.xml" Id="R6c410d169ab7426c" /><Relationship Type="http://schemas.openxmlformats.org/officeDocument/2006/relationships/worksheet" Target="/xl/worksheets/sheet4.xml" Id="R7367ddb69559490f" /><Relationship Type="http://schemas.openxmlformats.org/officeDocument/2006/relationships/worksheet" Target="/xl/worksheets/sheet5.xml" Id="R73f4eb43bba345f0" /></Relationships>
</file>

<file path=xl/tables/table1.xml><?xml version="1.0" encoding="utf-8"?>
<x:table xmlns:x="http://schemas.openxmlformats.org/spreadsheetml/2006/main" id="1" name="ELCDProcessCatalog" displayName="ELCDProcessCatalog" ref="A1:G609" headerRowCount="1" totalsRowCount="0" totalsRowShown="0">
  <x:tableColumns count="7">
    <x:tableColumn id="1" name="Selection Label"/>
    <x:tableColumn id="2" name="Process UUID"/>
    <x:tableColumn id="3" name="Process Name"/>
    <x:tableColumn id="4" name="Location"/>
    <x:tableColumn id="5" name="Process Type"/>
    <x:tableColumn id="6" name="Category"/>
    <x:tableColumn id="7" name="Libr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.xml" Id="R807cc157ec4b4b79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58" hidden="0" customWidth="1"/>
    <x:col min="3" max="3" width="4" hidden="0" customWidth="1"/>
    <x:col min="4" max="4" width="18" hidden="0" customWidth="1"/>
    <x:col min="5" max="5" width="55" hidden="0" customWidth="1"/>
    <x:col min="6" max="6" width="4" hidden="0" customWidth="1"/>
  </x:cols>
  <x:sheetData>
    <x:row r="1">
      <x:c r="A1" s="5" t="str">
        <x:v>Expert Reference Set – Simple Workflow</x:v>
      </x:c>
      <x:c r="B1" s="5"/>
      <x:c r="C1" s="5"/>
      <x:c r="D1" s="5"/>
      <x:c r="E1" s="5"/>
      <x:c r="F1" s="5"/>
    </x:row>
    <x:row r="3">
      <x:c r="A3" s="11" t="str">
        <x:v>Purpose: create an independent expert reference set before evaluating the LLM.</x:v>
      </x:c>
      <x:c r="B3" s="11"/>
      <x:c r="C3" s="11"/>
      <x:c r="D3" s="11"/>
      <x:c r="E3" s="11"/>
      <x:c r="F3" s="11"/>
    </x:row>
    <x:row r="5">
      <x:c r="A5" s="22" t="str">
        <x:v>Step</x:v>
      </x:c>
      <x:c r="B5" s="23" t="str">
        <x:v>What to do</x:v>
      </x:c>
      <x:c r="D5" s="22" t="str">
        <x:v>Term</x:v>
      </x:c>
      <x:c r="E5" s="23" t="str">
        <x:v>Meaning</x:v>
      </x:c>
    </x:row>
    <x:row r="6">
      <x:c r="A6" s="38" t="str">
        <x:v>1</x:v>
      </x:c>
      <x:c r="B6" s="38" t="str">
        <x:v>Expert A and Expert B complete their own sheets independently. Do not show the LLM outputs or the other expert's answers.</x:v>
      </x:c>
      <x:c r="D6" s="38" t="str">
        <x:v>Direct</x:v>
      </x:c>
      <x:c r="E6" s="38" t="str">
        <x:v>A suitable database process represents the same material/product sufficiently well.</x:v>
      </x:c>
    </x:row>
    <x:row r="7">
      <x:c r="A7" s="38" t="str">
        <x:v>2</x:v>
      </x:c>
      <x:c r="B7" s="38" t="str">
        <x:v>For each BOM item, write a normalized material name. Then select the best process from ELCD_Catalog; the UUID fills automatically.</x:v>
      </x:c>
      <x:c r="D7" s="38" t="str">
        <x:v>Proxy</x:v>
      </x:c>
      <x:c r="E7" s="38" t="str">
        <x:v>No direct process exists, but a technically defensible substitute is available.</x:v>
      </x:c>
    </x:row>
    <x:row r="8">
      <x:c r="A8" s="38" t="str">
        <x:v>3</x:v>
      </x:c>
      <x:c r="B8" s="38" t="str">
        <x:v>Choose Direct, Proxy, or Review Required. If Review Required, leave the process blank. Add a short rationale for Proxy or Review Required decisions.</x:v>
      </x:c>
      <x:c r="D8" s="38" t="str">
        <x:v>Review Required</x:v>
      </x:c>
      <x:c r="E8" s="38" t="str">
        <x:v>Neither a direct process nor a defensible proxy is available.</x:v>
      </x:c>
    </x:row>
    <x:row r="9">
      <x:c r="A9" s="39" t="str">
        <x:v>4</x:v>
      </x:c>
      <x:c r="B9" s="39" t="str">
        <x:v>After both experts finish, use Reconciliation to create the final reference answer. Only then compare the LLM outputs against it.</x:v>
      </x:c>
      <x:c r="D9" s="39" t="str">
        <x:v>Confidence</x:v>
      </x:c>
      <x:c r="E9" s="39" t="str">
        <x:v>High = clear; Medium = judgment required; Low = substantial uncertainty.</x:v>
      </x:c>
    </x:row>
    <x:row r="11">
      <x:c r="A11" s="93" t="str">
        <x:v>Important: ELCD_Catalog contains the 608 processes exported from the active openLCA database. Experts should select only from this catalog and should not estimate emission factors.</x:v>
      </x:c>
      <x:c r="B11" s="93"/>
      <x:c r="C11" s="93"/>
      <x:c r="D11" s="93"/>
      <x:c r="E11" s="93"/>
      <x:c r="F11" s="48"/>
    </x:row>
  </x:sheetData>
  <x:mergeCells>
    <x:mergeCell ref="A1:F1"/>
    <x:mergeCell ref="A3:F3"/>
    <x:mergeCell ref="A11:E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42" hidden="0" customWidth="1"/>
    <x:col min="4" max="4" width="10" hidden="0" customWidth="1"/>
    <x:col min="5" max="5" width="9" hidden="0" customWidth="1"/>
    <x:col min="6" max="6" width="26" hidden="0" customWidth="1"/>
    <x:col min="7" max="7" width="58" hidden="0" customWidth="1"/>
    <x:col min="8" max="8" width="38" hidden="0" customWidth="1"/>
    <x:col min="9" max="9" width="18" hidden="0" customWidth="1"/>
    <x:col min="10" max="10" width="12" hidden="0" customWidth="1"/>
    <x:col min="11" max="11" width="34" hidden="0" customWidth="1"/>
  </x:cols>
  <x:sheetData>
    <x:row r="1">
      <x:c r="A1" s="69" t="str">
        <x:v>Expert A – Independent Expert Review</x:v>
      </x:c>
      <x:c r="B1" s="69"/>
      <x:c r="C1" s="69"/>
      <x:c r="D1" s="69"/>
      <x:c r="E1" s="69"/>
      <x:c r="F1" s="69"/>
      <x:c r="G1" s="69"/>
      <x:c r="H1" s="69"/>
      <x:c r="I1" s="69"/>
      <x:c r="J1" s="69"/>
      <x:c r="K1" s="69"/>
    </x:row>
    <x:row r="2">
      <x:c r="A2" s="36"/>
      <x:c r="B2" s="36"/>
      <x:c r="C2" s="36"/>
      <x:c r="D2" s="36"/>
      <x:c r="E2" s="36"/>
      <x:c r="F2" s="36"/>
      <x:c r="G2" s="36"/>
      <x:c r="H2" s="36"/>
      <x:c r="I2" s="36"/>
      <x:c r="J2" s="36"/>
      <x:c r="K2" s="36"/>
    </x:row>
    <x:row r="3">
      <x:c r="A3" s="75" t="str">
        <x:v>Reviewer Name / Code</x:v>
      </x:c>
      <x:c r="B3" s="76" t="str"/>
      <x:c r="C3" s="77"/>
      <x:c r="D3" s="77"/>
      <x:c r="E3" s="36"/>
      <x:c r="F3" s="36"/>
      <x:c r="G3" s="36"/>
      <x:c r="H3" s="36"/>
      <x:c r="I3" s="36"/>
      <x:c r="J3" s="36"/>
      <x:c r="K3" s="36"/>
    </x:row>
    <x:row r="4">
      <x:c r="A4" s="75" t="str">
        <x:v>Relevant LCA Experience</x:v>
      </x:c>
      <x:c r="B4" s="76" t="str"/>
      <x:c r="C4" s="77"/>
      <x:c r="D4" s="77"/>
      <x:c r="E4" s="36"/>
      <x:c r="F4" s="36"/>
      <x:c r="G4" s="36"/>
      <x:c r="H4" s="36"/>
      <x:c r="I4" s="36"/>
      <x:c r="J4" s="36"/>
      <x:c r="K4" s="36"/>
    </x:row>
    <x:row r="5">
      <x:c r="A5" s="75" t="str">
        <x:v>Review Date</x:v>
      </x:c>
      <x:c r="B5" s="76" t="str"/>
      <x:c r="C5" s="77"/>
      <x:c r="D5" s="77"/>
      <x:c r="E5" s="36"/>
      <x:c r="F5" s="36"/>
      <x:c r="G5" s="36"/>
      <x:c r="H5" s="36"/>
      <x:c r="I5" s="36"/>
      <x:c r="J5" s="36"/>
      <x:c r="K5" s="36"/>
    </x:row>
    <x:row r="6">
      <x:c r="A6" s="36"/>
      <x:c r="B6" s="36"/>
      <x:c r="C6" s="36"/>
      <x:c r="D6" s="36"/>
      <x:c r="E6" s="36"/>
      <x:c r="F6" s="36"/>
      <x:c r="G6" s="36"/>
      <x:c r="H6" s="36"/>
      <x:c r="I6" s="36"/>
      <x:c r="J6" s="36"/>
      <x:c r="K6" s="36"/>
    </x:row>
    <x:row r="7">
      <x:c r="A7" s="22" t="str">
        <x:v>ID</x:v>
      </x:c>
      <x:c r="B7" s="60" t="str">
        <x:v>Case Study</x:v>
      </x:c>
      <x:c r="C7" s="60" t="str">
        <x:v>Original BOM Description</x:v>
      </x:c>
      <x:c r="D7" s="60" t="str">
        <x:v>Qty.</x:v>
      </x:c>
      <x:c r="E7" s="60" t="str">
        <x:v>Unit</x:v>
      </x:c>
      <x:c r="F7" s="60" t="str">
        <x:v>Normalized Material</x:v>
      </x:c>
      <x:c r="G7" s="60" t="str">
        <x:v>Best ELCD/openLCA Process (select from catalog)</x:v>
      </x:c>
      <x:c r="H7" s="60" t="str">
        <x:v>Process UUID (auto)</x:v>
      </x:c>
      <x:c r="I7" s="60" t="str">
        <x:v>Match Type</x:v>
      </x:c>
      <x:c r="J7" s="60" t="str">
        <x:v>Confidence</x:v>
      </x:c>
      <x:c r="K7" s="23" t="str">
        <x:v>Brief Notes / Rationale</x:v>
      </x:c>
    </x:row>
    <x:row r="8">
      <x:c r="A8" s="38" t="str">
        <x:v>S01</x:v>
      </x:c>
      <x:c r="B8" s="38" t="str">
        <x:v>Stonecrete House</x:v>
      </x:c>
      <x:c r="C8" s="38" t="str">
        <x:v>Ordinary Portland Cement (OPC 43-grade)</x:v>
      </x:c>
      <x:c r="D8" s="38" t="n">
        <x:v>5000</x:v>
      </x:c>
      <x:c r="E8" s="38" t="str">
        <x:v>kg</x:v>
      </x:c>
      <x:c r="F8" s="89" t="str"/>
      <x:c r="G8" s="89" t="str"/>
      <x:c r="H8" s="91" t="str">
        <x:f>IF(G8="","",IFERROR(VLOOKUP(G8,ELCD_Catalog!$A$2:$B$609,2,FALSE),""))</x:f>
      </x:c>
      <x:c r="I8" s="89" t="str"/>
      <x:c r="J8" s="89" t="str"/>
      <x:c r="K8" s="89" t="str"/>
    </x:row>
    <x:row r="9">
      <x:c r="A9" s="38" t="str">
        <x:v>S02</x:v>
      </x:c>
      <x:c r="B9" s="38" t="str">
        <x:v>Stonecrete House</x:v>
      </x:c>
      <x:c r="C9" s="38" t="str">
        <x:v>River Sand (clean, well-graded)</x:v>
      </x:c>
      <x:c r="D9" s="38" t="n">
        <x:v>24000</x:v>
      </x:c>
      <x:c r="E9" s="38" t="str">
        <x:v>kg</x:v>
      </x:c>
      <x:c r="F9" s="89" t="str"/>
      <x:c r="G9" s="89" t="str"/>
      <x:c r="H9" s="91" t="str">
        <x:f>IF(G9="","",IFERROR(VLOOKUP(G9,ELCD_Catalog!$A$2:$B$609,2,FALSE),""))</x:f>
      </x:c>
      <x:c r="I9" s="89" t="str"/>
      <x:c r="J9" s="89" t="str"/>
      <x:c r="K9" s="89" t="str"/>
    </x:row>
    <x:row r="10">
      <x:c r="A10" s="38" t="str">
        <x:v>S03</x:v>
      </x:c>
      <x:c r="B10" s="38" t="str">
        <x:v>Stonecrete House</x:v>
      </x:c>
      <x:c r="C10" s="38" t="str">
        <x:v>Natural Gravel</x:v>
      </x:c>
      <x:c r="D10" s="38" t="n">
        <x:v>12</x:v>
      </x:c>
      <x:c r="E10" s="38" t="str">
        <x:v>m³</x:v>
      </x:c>
      <x:c r="F10" s="89" t="str"/>
      <x:c r="G10" s="89" t="str"/>
      <x:c r="H10" s="91" t="str">
        <x:f>IF(G10="","",IFERROR(VLOOKUP(G10,ELCD_Catalog!$A$2:$B$609,2,FALSE),""))</x:f>
      </x:c>
      <x:c r="I10" s="89" t="str"/>
      <x:c r="J10" s="89" t="str"/>
      <x:c r="K10" s="89" t="str"/>
    </x:row>
    <x:row r="11">
      <x:c r="A11" s="38" t="str">
        <x:v>S04</x:v>
      </x:c>
      <x:c r="B11" s="38" t="str">
        <x:v>Stonecrete House</x:v>
      </x:c>
      <x:c r="C11" s="38" t="str">
        <x:v>Stone</x:v>
      </x:c>
      <x:c r="D11" s="38" t="n">
        <x:v>12</x:v>
      </x:c>
      <x:c r="E11" s="38" t="str">
        <x:v>m³</x:v>
      </x:c>
      <x:c r="F11" s="89" t="str"/>
      <x:c r="G11" s="89" t="str"/>
      <x:c r="H11" s="91" t="str">
        <x:f>IF(G11="","",IFERROR(VLOOKUP(G11,ELCD_Catalog!$A$2:$B$609,2,FALSE),""))</x:f>
      </x:c>
      <x:c r="I11" s="89" t="str"/>
      <x:c r="J11" s="89" t="str"/>
      <x:c r="K11" s="89" t="str"/>
    </x:row>
    <x:row r="12">
      <x:c r="A12" s="38" t="str">
        <x:v>S05</x:v>
      </x:c>
      <x:c r="B12" s="38" t="str">
        <x:v>Stonecrete House</x:v>
      </x:c>
      <x:c r="C12" s="38" t="str">
        <x:v>Plain Cement Concrete (PCC M10 — 1:3:6) - Binding Layer</x:v>
      </x:c>
      <x:c r="D12" s="38" t="n">
        <x:v>1.6</x:v>
      </x:c>
      <x:c r="E12" s="38" t="str">
        <x:v>m³</x:v>
      </x:c>
      <x:c r="F12" s="89" t="str"/>
      <x:c r="G12" s="89" t="str"/>
      <x:c r="H12" s="91" t="str">
        <x:f>IF(G12="","",IFERROR(VLOOKUP(G12,ELCD_Catalog!$A$2:$B$609,2,FALSE),""))</x:f>
      </x:c>
      <x:c r="I12" s="89" t="str"/>
      <x:c r="J12" s="89" t="str"/>
      <x:c r="K12" s="89" t="str"/>
    </x:row>
    <x:row r="13">
      <x:c r="A13" s="38" t="str">
        <x:v>S06</x:v>
      </x:c>
      <x:c r="B13" s="38" t="str">
        <x:v>Stonecrete House</x:v>
      </x:c>
      <x:c r="C13" s="38" t="str">
        <x:v>Stonecrete block</x:v>
      </x:c>
      <x:c r="D13" s="38" t="n">
        <x:v>3512.34</x:v>
      </x:c>
      <x:c r="E13" s="38" t="str">
        <x:v>kg</x:v>
      </x:c>
      <x:c r="F13" s="89" t="str"/>
      <x:c r="G13" s="89" t="str"/>
      <x:c r="H13" s="91" t="str">
        <x:f>IF(G13="","",IFERROR(VLOOKUP(G13,ELCD_Catalog!$A$2:$B$609,2,FALSE),""))</x:f>
      </x:c>
      <x:c r="I13" s="89" t="str"/>
      <x:c r="J13" s="89" t="str"/>
      <x:c r="K13" s="89" t="str"/>
    </x:row>
    <x:row r="14">
      <x:c r="A14" s="38" t="str">
        <x:v>S07</x:v>
      </x:c>
      <x:c r="B14" s="38" t="str">
        <x:v>Stonecrete House</x:v>
      </x:c>
      <x:c r="C14" s="38" t="str">
        <x:v>Rebar TMT Fe500</x:v>
      </x:c>
      <x:c r="D14" s="38" t="n">
        <x:v>250</x:v>
      </x:c>
      <x:c r="E14" s="38" t="str">
        <x:v>kg</x:v>
      </x:c>
      <x:c r="F14" s="89" t="str"/>
      <x:c r="G14" s="89" t="str"/>
      <x:c r="H14" s="91" t="str">
        <x:f>IF(G14="","",IFERROR(VLOOKUP(G14,ELCD_Catalog!$A$2:$B$609,2,FALSE),""))</x:f>
      </x:c>
      <x:c r="I14" s="89" t="str"/>
      <x:c r="J14" s="89" t="str"/>
      <x:c r="K14" s="89" t="str"/>
    </x:row>
    <x:row r="15">
      <x:c r="A15" s="38" t="str">
        <x:v>S08</x:v>
      </x:c>
      <x:c r="B15" s="38" t="str">
        <x:v>Stonecrete House</x:v>
      </x:c>
      <x:c r="C15" s="38" t="str">
        <x:v>Binding Wire (soft annealed, 18-gauge)</x:v>
      </x:c>
      <x:c r="D15" s="38" t="n">
        <x:v>5</x:v>
      </x:c>
      <x:c r="E15" s="38" t="str">
        <x:v>kg</x:v>
      </x:c>
      <x:c r="F15" s="89" t="str"/>
      <x:c r="G15" s="89" t="str"/>
      <x:c r="H15" s="91" t="str">
        <x:f>IF(G15="","",IFERROR(VLOOKUP(G15,ELCD_Catalog!$A$2:$B$609,2,FALSE),""))</x:f>
      </x:c>
      <x:c r="I15" s="89" t="str"/>
      <x:c r="J15" s="89" t="str"/>
      <x:c r="K15" s="89" t="str"/>
    </x:row>
    <x:row r="16">
      <x:c r="A16" s="38" t="str">
        <x:v>S09</x:v>
      </x:c>
      <x:c r="B16" s="38" t="str">
        <x:v>Stonecrete House</x:v>
      </x:c>
      <x:c r="C16" s="38" t="str">
        <x:v>Corrugated Galvanized Iron (CGI) Sheet, 0.45 mm BMT</x:v>
      </x:c>
      <x:c r="D16" s="38" t="n">
        <x:v>190.71</x:v>
      </x:c>
      <x:c r="E16" s="38" t="str">
        <x:v>kg</x:v>
      </x:c>
      <x:c r="F16" s="89" t="str"/>
      <x:c r="G16" s="89" t="str"/>
      <x:c r="H16" s="91" t="str">
        <x:f>IF(G16="","",IFERROR(VLOOKUP(G16,ELCD_Catalog!$A$2:$B$609,2,FALSE),""))</x:f>
      </x:c>
      <x:c r="I16" s="89" t="str"/>
      <x:c r="J16" s="89" t="str"/>
      <x:c r="K16" s="89" t="str"/>
    </x:row>
    <x:row r="17">
      <x:c r="A17" s="38" t="str">
        <x:v>S10</x:v>
      </x:c>
      <x:c r="B17" s="38" t="str">
        <x:v>Stonecrete House</x:v>
      </x:c>
      <x:c r="C17" s="38" t="str">
        <x:v>Timber for purlin, rafter, and column post</x:v>
      </x:c>
      <x:c r="D17" s="38" t="n">
        <x:v>2.08</x:v>
      </x:c>
      <x:c r="E17" s="38" t="str">
        <x:v>m³</x:v>
      </x:c>
      <x:c r="F17" s="89" t="str"/>
      <x:c r="G17" s="89" t="str"/>
      <x:c r="H17" s="91" t="str">
        <x:f>IF(G17="","",IFERROR(VLOOKUP(G17,ELCD_Catalog!$A$2:$B$609,2,FALSE),""))</x:f>
      </x:c>
      <x:c r="I17" s="89" t="str"/>
      <x:c r="J17" s="89" t="str"/>
      <x:c r="K17" s="89" t="str"/>
    </x:row>
    <x:row r="18">
      <x:c r="A18" s="38" t="str">
        <x:v>S11</x:v>
      </x:c>
      <x:c r="B18" s="38" t="str">
        <x:v>Stonecrete House</x:v>
      </x:c>
      <x:c r="C18" s="38" t="str">
        <x:v>Plaster 1:4 — External Walls, 15 mm thick</x:v>
      </x:c>
      <x:c r="D18" s="38" t="n">
        <x:v>65</x:v>
      </x:c>
      <x:c r="E18" s="38" t="str">
        <x:v>m²</x:v>
      </x:c>
      <x:c r="F18" s="89" t="str"/>
      <x:c r="G18" s="89" t="str"/>
      <x:c r="H18" s="91" t="str">
        <x:f>IF(G18="","",IFERROR(VLOOKUP(G18,ELCD_Catalog!$A$2:$B$609,2,FALSE),""))</x:f>
      </x:c>
      <x:c r="I18" s="89" t="str"/>
      <x:c r="J18" s="89" t="str"/>
      <x:c r="K18" s="89" t="str"/>
    </x:row>
    <x:row r="19">
      <x:c r="A19" s="38" t="str">
        <x:v>S12</x:v>
      </x:c>
      <x:c r="B19" s="38" t="str">
        <x:v>Stonecrete House</x:v>
      </x:c>
      <x:c r="C19" s="38" t="str">
        <x:v>Plaster 1:6 — Internal Walls, 12 mm thick</x:v>
      </x:c>
      <x:c r="D19" s="38" t="n">
        <x:v>128</x:v>
      </x:c>
      <x:c r="E19" s="38" t="str">
        <x:v>m²</x:v>
      </x:c>
      <x:c r="F19" s="89" t="str"/>
      <x:c r="G19" s="89" t="str"/>
      <x:c r="H19" s="91" t="str">
        <x:f>IF(G19="","",IFERROR(VLOOKUP(G19,ELCD_Catalog!$A$2:$B$609,2,FALSE),""))</x:f>
      </x:c>
      <x:c r="I19" s="89" t="str"/>
      <x:c r="J19" s="89" t="str"/>
      <x:c r="K19" s="89" t="str"/>
    </x:row>
    <x:row r="20">
      <x:c r="A20" s="38" t="str">
        <x:v>B01</x:v>
      </x:c>
      <x:c r="B20" s="38" t="str">
        <x:v>Bamboo House</x:v>
      </x:c>
      <x:c r="C20" s="38" t="str">
        <x:v>Cement</x:v>
      </x:c>
      <x:c r="D20" s="38" t="n">
        <x:v>1250</x:v>
      </x:c>
      <x:c r="E20" s="38" t="str">
        <x:v>kg</x:v>
      </x:c>
      <x:c r="F20" s="89" t="str"/>
      <x:c r="G20" s="89" t="str"/>
      <x:c r="H20" s="91" t="str">
        <x:f>IF(G20="","",IFERROR(VLOOKUP(G20,ELCD_Catalog!$A$2:$B$609,2,FALSE),""))</x:f>
      </x:c>
      <x:c r="I20" s="89" t="str"/>
      <x:c r="J20" s="89" t="str"/>
      <x:c r="K20" s="89" t="str"/>
    </x:row>
    <x:row r="21">
      <x:c r="A21" s="38" t="str">
        <x:v>B02</x:v>
      </x:c>
      <x:c r="B21" s="38" t="str">
        <x:v>Bamboo House</x:v>
      </x:c>
      <x:c r="C21" s="38" t="str">
        <x:v>Sand</x:v>
      </x:c>
      <x:c r="D21" s="38" t="n">
        <x:v>9600</x:v>
      </x:c>
      <x:c r="E21" s="38" t="str">
        <x:v>kg</x:v>
      </x:c>
      <x:c r="F21" s="89" t="str"/>
      <x:c r="G21" s="89" t="str"/>
      <x:c r="H21" s="91" t="str">
        <x:f>IF(G21="","",IFERROR(VLOOKUP(G21,ELCD_Catalog!$A$2:$B$609,2,FALSE),""))</x:f>
      </x:c>
      <x:c r="I21" s="89" t="str"/>
      <x:c r="J21" s="89" t="str"/>
      <x:c r="K21" s="89" t="str"/>
    </x:row>
    <x:row r="22">
      <x:c r="A22" s="38" t="str">
        <x:v>B03</x:v>
      </x:c>
      <x:c r="B22" s="38" t="str">
        <x:v>Bamboo House</x:v>
      </x:c>
      <x:c r="C22" s="38" t="str">
        <x:v>Natural Gravel</x:v>
      </x:c>
      <x:c r="D22" s="38" t="n">
        <x:v>6</x:v>
      </x:c>
      <x:c r="E22" s="38" t="str">
        <x:v>m³</x:v>
      </x:c>
      <x:c r="F22" s="89" t="str"/>
      <x:c r="G22" s="89" t="str"/>
      <x:c r="H22" s="91" t="str">
        <x:f>IF(G22="","",IFERROR(VLOOKUP(G22,ELCD_Catalog!$A$2:$B$609,2,FALSE),""))</x:f>
      </x:c>
      <x:c r="I22" s="89" t="str"/>
      <x:c r="J22" s="89" t="str"/>
      <x:c r="K22" s="89" t="str"/>
    </x:row>
    <x:row r="23">
      <x:c r="A23" s="38" t="str">
        <x:v>B04</x:v>
      </x:c>
      <x:c r="B23" s="38" t="str">
        <x:v>Bamboo House</x:v>
      </x:c>
      <x:c r="C23" s="38" t="str">
        <x:v>Stone</x:v>
      </x:c>
      <x:c r="D23" s="38" t="n">
        <x:v>9</x:v>
      </x:c>
      <x:c r="E23" s="38" t="str">
        <x:v>m³</x:v>
      </x:c>
      <x:c r="F23" s="89" t="str"/>
      <x:c r="G23" s="89" t="str"/>
      <x:c r="H23" s="91" t="str">
        <x:f>IF(G23="","",IFERROR(VLOOKUP(G23,ELCD_Catalog!$A$2:$B$609,2,FALSE),""))</x:f>
      </x:c>
      <x:c r="I23" s="89" t="str"/>
      <x:c r="J23" s="89" t="str"/>
      <x:c r="K23" s="89" t="str"/>
    </x:row>
    <x:row r="24">
      <x:c r="A24" s="38" t="str">
        <x:v>B05</x:v>
      </x:c>
      <x:c r="B24" s="38" t="str">
        <x:v>Bamboo House</x:v>
      </x:c>
      <x:c r="C24" s="38" t="str">
        <x:v>Soil</x:v>
      </x:c>
      <x:c r="D24" s="38" t="n">
        <x:v>12</x:v>
      </x:c>
      <x:c r="E24" s="38" t="str">
        <x:v>m³</x:v>
      </x:c>
      <x:c r="F24" s="89" t="str"/>
      <x:c r="G24" s="89" t="str"/>
      <x:c r="H24" s="91" t="str">
        <x:f>IF(G24="","",IFERROR(VLOOKUP(G24,ELCD_Catalog!$A$2:$B$609,2,FALSE),""))</x:f>
      </x:c>
      <x:c r="I24" s="89" t="str"/>
      <x:c r="J24" s="89" t="str"/>
      <x:c r="K24" s="89" t="str"/>
    </x:row>
    <x:row r="25">
      <x:c r="A25" s="38" t="str">
        <x:v>B06</x:v>
      </x:c>
      <x:c r="B25" s="38" t="str">
        <x:v>Bamboo House</x:v>
      </x:c>
      <x:c r="C25" s="38" t="str">
        <x:v>Local Wood</x:v>
      </x:c>
      <x:c r="D25" s="38" t="n">
        <x:v>0.21</x:v>
      </x:c>
      <x:c r="E25" s="38" t="str">
        <x:v>m³</x:v>
      </x:c>
      <x:c r="F25" s="89" t="str"/>
      <x:c r="G25" s="89" t="str"/>
      <x:c r="H25" s="91" t="str">
        <x:f>IF(G25="","",IFERROR(VLOOKUP(G25,ELCD_Catalog!$A$2:$B$609,2,FALSE),""))</x:f>
      </x:c>
      <x:c r="I25" s="89" t="str"/>
      <x:c r="J25" s="89" t="str"/>
      <x:c r="K25" s="89" t="str"/>
    </x:row>
    <x:row r="26">
      <x:c r="A26" s="38" t="str">
        <x:v>B07</x:v>
      </x:c>
      <x:c r="B26" s="38" t="str">
        <x:v>Bamboo House</x:v>
      </x:c>
      <x:c r="C26" s="38" t="str">
        <x:v>19mm Plywood</x:v>
      </x:c>
      <x:c r="D26" s="38" t="n">
        <x:v>4</x:v>
      </x:c>
      <x:c r="E26" s="38" t="str">
        <x:v>m²</x:v>
      </x:c>
      <x:c r="F26" s="89" t="str"/>
      <x:c r="G26" s="89" t="str"/>
      <x:c r="H26" s="91" t="str">
        <x:f>IF(G26="","",IFERROR(VLOOKUP(G26,ELCD_Catalog!$A$2:$B$609,2,FALSE),""))</x:f>
      </x:c>
      <x:c r="I26" s="89" t="str"/>
      <x:c r="J26" s="89" t="str"/>
      <x:c r="K26" s="89" t="str"/>
    </x:row>
    <x:row r="27">
      <x:c r="A27" s="38" t="str">
        <x:v>B08</x:v>
      </x:c>
      <x:c r="B27" s="38" t="str">
        <x:v>Bamboo House</x:v>
      </x:c>
      <x:c r="C27" s="38" t="str">
        <x:v>Nail</x:v>
      </x:c>
      <x:c r="D27" s="38" t="n">
        <x:v>2</x:v>
      </x:c>
      <x:c r="E27" s="38" t="str">
        <x:v>kg</x:v>
      </x:c>
      <x:c r="F27" s="89" t="str"/>
      <x:c r="G27" s="89" t="str"/>
      <x:c r="H27" s="91" t="str">
        <x:f>IF(G27="","",IFERROR(VLOOKUP(G27,ELCD_Catalog!$A$2:$B$609,2,FALSE),""))</x:f>
      </x:c>
      <x:c r="I27" s="89" t="str"/>
      <x:c r="J27" s="89" t="str"/>
      <x:c r="K27" s="89" t="str"/>
    </x:row>
    <x:row r="28">
      <x:c r="A28" s="38" t="str">
        <x:v>B09</x:v>
      </x:c>
      <x:c r="B28" s="38" t="str">
        <x:v>Bamboo House</x:v>
      </x:c>
      <x:c r="C28" s="38" t="str">
        <x:v>10mm Rebar</x:v>
      </x:c>
      <x:c r="D28" s="38" t="n">
        <x:v>116</x:v>
      </x:c>
      <x:c r="E28" s="38" t="str">
        <x:v>kg</x:v>
      </x:c>
      <x:c r="F28" s="89" t="str"/>
      <x:c r="G28" s="89" t="str"/>
      <x:c r="H28" s="91" t="str">
        <x:f>IF(G28="","",IFERROR(VLOOKUP(G28,ELCD_Catalog!$A$2:$B$609,2,FALSE),""))</x:f>
      </x:c>
      <x:c r="I28" s="89" t="str"/>
      <x:c r="J28" s="89" t="str"/>
      <x:c r="K28" s="89" t="str"/>
    </x:row>
    <x:row r="29">
      <x:c r="A29" s="38" t="str">
        <x:v>B10</x:v>
      </x:c>
      <x:c r="B29" s="38" t="str">
        <x:v>Bamboo House</x:v>
      </x:c>
      <x:c r="C29" s="38" t="str">
        <x:v>7mm Rebar</x:v>
      </x:c>
      <x:c r="D29" s="38" t="n">
        <x:v>51</x:v>
      </x:c>
      <x:c r="E29" s="38" t="str">
        <x:v>kg</x:v>
      </x:c>
      <x:c r="F29" s="89" t="str"/>
      <x:c r="G29" s="89" t="str"/>
      <x:c r="H29" s="91" t="str">
        <x:f>IF(G29="","",IFERROR(VLOOKUP(G29,ELCD_Catalog!$A$2:$B$609,2,FALSE),""))</x:f>
      </x:c>
      <x:c r="I29" s="89" t="str"/>
      <x:c r="J29" s="89" t="str"/>
      <x:c r="K29" s="89" t="str"/>
    </x:row>
    <x:row r="30">
      <x:c r="A30" s="38" t="str">
        <x:v>B11</x:v>
      </x:c>
      <x:c r="B30" s="38" t="str">
        <x:v>Bamboo House</x:v>
      </x:c>
      <x:c r="C30" s="38" t="str">
        <x:v>Binding Wire</x:v>
      </x:c>
      <x:c r="D30" s="38" t="n">
        <x:v>4</x:v>
      </x:c>
      <x:c r="E30" s="38" t="str">
        <x:v>kg</x:v>
      </x:c>
      <x:c r="F30" s="89" t="str"/>
      <x:c r="G30" s="89" t="str"/>
      <x:c r="H30" s="91" t="str">
        <x:f>IF(G30="","",IFERROR(VLOOKUP(G30,ELCD_Catalog!$A$2:$B$609,2,FALSE),""))</x:f>
      </x:c>
      <x:c r="I30" s="89" t="str"/>
      <x:c r="J30" s="89" t="str"/>
      <x:c r="K30" s="89" t="str"/>
    </x:row>
    <x:row r="31">
      <x:c r="A31" s="38" t="str">
        <x:v>B12</x:v>
      </x:c>
      <x:c r="B31" s="38" t="str">
        <x:v>Bamboo House</x:v>
      </x:c>
      <x:c r="C31" s="38" t="str">
        <x:v>24 Gauge CGI Sheets</x:v>
      </x:c>
      <x:c r="D31" s="38" t="n">
        <x:v>630</x:v>
      </x:c>
      <x:c r="E31" s="38" t="str">
        <x:v>kg</x:v>
      </x:c>
      <x:c r="F31" s="89" t="str"/>
      <x:c r="G31" s="89" t="str"/>
      <x:c r="H31" s="91" t="str">
        <x:f>IF(G31="","",IFERROR(VLOOKUP(G31,ELCD_Catalog!$A$2:$B$609,2,FALSE),""))</x:f>
      </x:c>
      <x:c r="I31" s="89" t="str"/>
      <x:c r="J31" s="89" t="str"/>
      <x:c r="K31" s="89" t="str"/>
    </x:row>
    <x:row r="32">
      <x:c r="A32" s="38" t="str">
        <x:v>B13</x:v>
      </x:c>
      <x:c r="B32" s="38" t="str">
        <x:v>Bamboo House</x:v>
      </x:c>
      <x:c r="C32" s="38" t="str">
        <x:v>3mm Commercial Plywood</x:v>
      </x:c>
      <x:c r="D32" s="38" t="n">
        <x:v>3</x:v>
      </x:c>
      <x:c r="E32" s="38" t="str">
        <x:v>m²</x:v>
      </x:c>
      <x:c r="F32" s="89" t="str"/>
      <x:c r="G32" s="89" t="str"/>
      <x:c r="H32" s="91" t="str">
        <x:f>IF(G32="","",IFERROR(VLOOKUP(G32,ELCD_Catalog!$A$2:$B$609,2,FALSE),""))</x:f>
      </x:c>
      <x:c r="I32" s="89" t="str"/>
      <x:c r="J32" s="89" t="str"/>
      <x:c r="K32" s="89" t="str"/>
    </x:row>
    <x:row r="33">
      <x:c r="A33" s="38" t="str">
        <x:v>B14</x:v>
      </x:c>
      <x:c r="B33" s="38" t="str">
        <x:v>Bamboo House</x:v>
      </x:c>
      <x:c r="C33" s="38" t="str">
        <x:v>Bamboo</x:v>
      </x:c>
      <x:c r="D33" s="38" t="n">
        <x:v>4.82</x:v>
      </x:c>
      <x:c r="E33" s="38" t="str">
        <x:v>m³</x:v>
      </x:c>
      <x:c r="F33" s="89" t="str"/>
      <x:c r="G33" s="89" t="str"/>
      <x:c r="H33" s="91" t="str">
        <x:f>IF(G33="","",IFERROR(VLOOKUP(G33,ELCD_Catalog!$A$2:$B$609,2,FALSE),""))</x:f>
      </x:c>
      <x:c r="I33" s="89" t="str"/>
      <x:c r="J33" s="89" t="str"/>
      <x:c r="K33" s="89" t="str"/>
    </x:row>
    <x:row r="34">
      <x:c r="A34" s="38" t="str">
        <x:v>A01</x:v>
      </x:c>
      <x:c r="B34" s="38" t="str">
        <x:v>Bamboo House with Attic</x:v>
      </x:c>
      <x:c r="C34" s="38" t="str">
        <x:v>Cement</x:v>
      </x:c>
      <x:c r="D34" s="38" t="n">
        <x:v>7300</x:v>
      </x:c>
      <x:c r="E34" s="38" t="str">
        <x:v>kg</x:v>
      </x:c>
      <x:c r="F34" s="89" t="str"/>
      <x:c r="G34" s="89" t="str"/>
      <x:c r="H34" s="91" t="str">
        <x:f>IF(G34="","",IFERROR(VLOOKUP(G34,ELCD_Catalog!$A$2:$B$609,2,FALSE),""))</x:f>
      </x:c>
      <x:c r="I34" s="89" t="str"/>
      <x:c r="J34" s="89" t="str"/>
      <x:c r="K34" s="89" t="str"/>
    </x:row>
    <x:row r="35">
      <x:c r="A35" s="38" t="str">
        <x:v>A02</x:v>
      </x:c>
      <x:c r="B35" s="38" t="str">
        <x:v>Bamboo House with Attic</x:v>
      </x:c>
      <x:c r="C35" s="38" t="str">
        <x:v>Sand</x:v>
      </x:c>
      <x:c r="D35" s="38" t="n">
        <x:v>27200</x:v>
      </x:c>
      <x:c r="E35" s="38" t="str">
        <x:v>kg</x:v>
      </x:c>
      <x:c r="F35" s="89" t="str"/>
      <x:c r="G35" s="89" t="str"/>
      <x:c r="H35" s="91" t="str">
        <x:f>IF(G35="","",IFERROR(VLOOKUP(G35,ELCD_Catalog!$A$2:$B$609,2,FALSE),""))</x:f>
      </x:c>
      <x:c r="I35" s="89" t="str"/>
      <x:c r="J35" s="89" t="str"/>
      <x:c r="K35" s="89" t="str"/>
    </x:row>
    <x:row r="36">
      <x:c r="A36" s="38" t="str">
        <x:v>A03</x:v>
      </x:c>
      <x:c r="B36" s="38" t="str">
        <x:v>Bamboo House with Attic</x:v>
      </x:c>
      <x:c r="C36" s="38" t="str">
        <x:v>Natural Gravel</x:v>
      </x:c>
      <x:c r="D36" s="38" t="n">
        <x:v>6</x:v>
      </x:c>
      <x:c r="E36" s="38" t="str">
        <x:v>m³</x:v>
      </x:c>
      <x:c r="F36" s="89" t="str"/>
      <x:c r="G36" s="89" t="str"/>
      <x:c r="H36" s="91" t="str">
        <x:f>IF(G36="","",IFERROR(VLOOKUP(G36,ELCD_Catalog!$A$2:$B$609,2,FALSE),""))</x:f>
      </x:c>
      <x:c r="I36" s="89" t="str"/>
      <x:c r="J36" s="89" t="str"/>
      <x:c r="K36" s="89" t="str"/>
    </x:row>
    <x:row r="37">
      <x:c r="A37" s="38" t="str">
        <x:v>A04</x:v>
      </x:c>
      <x:c r="B37" s="38" t="str">
        <x:v>Bamboo House with Attic</x:v>
      </x:c>
      <x:c r="C37" s="38" t="str">
        <x:v>Soil Blocks</x:v>
      </x:c>
      <x:c r="D37" s="38" t="n">
        <x:v>6042</x:v>
      </x:c>
      <x:c r="E37" s="38" t="str">
        <x:v>Nos.</x:v>
      </x:c>
      <x:c r="F37" s="89" t="str"/>
      <x:c r="G37" s="89" t="str"/>
      <x:c r="H37" s="91" t="str">
        <x:f>IF(G37="","",IFERROR(VLOOKUP(G37,ELCD_Catalog!$A$2:$B$609,2,FALSE),""))</x:f>
      </x:c>
      <x:c r="I37" s="89" t="str"/>
      <x:c r="J37" s="89" t="str"/>
      <x:c r="K37" s="89" t="str"/>
    </x:row>
    <x:row r="38">
      <x:c r="A38" s="38" t="str">
        <x:v>A05</x:v>
      </x:c>
      <x:c r="B38" s="38" t="str">
        <x:v>Bamboo House with Attic</x:v>
      </x:c>
      <x:c r="C38" s="38" t="str">
        <x:v>Wood</x:v>
      </x:c>
      <x:c r="D38" s="38" t="n">
        <x:v>0.264</x:v>
      </x:c>
      <x:c r="E38" s="38" t="str">
        <x:v>m³</x:v>
      </x:c>
      <x:c r="F38" s="89" t="str"/>
      <x:c r="G38" s="89" t="str"/>
      <x:c r="H38" s="91" t="str">
        <x:f>IF(G38="","",IFERROR(VLOOKUP(G38,ELCD_Catalog!$A$2:$B$609,2,FALSE),""))</x:f>
      </x:c>
      <x:c r="I38" s="89" t="str"/>
      <x:c r="J38" s="89" t="str"/>
      <x:c r="K38" s="89" t="str"/>
    </x:row>
    <x:row r="39">
      <x:c r="A39" s="38" t="str">
        <x:v>A06</x:v>
      </x:c>
      <x:c r="B39" s="38" t="str">
        <x:v>Bamboo House with Attic</x:v>
      </x:c>
      <x:c r="C39" s="38" t="str">
        <x:v>Bamboo</x:v>
      </x:c>
      <x:c r="D39" s="38" t="n">
        <x:v>5.915</x:v>
      </x:c>
      <x:c r="E39" s="38" t="str">
        <x:v>m³</x:v>
      </x:c>
      <x:c r="F39" s="89" t="str"/>
      <x:c r="G39" s="89" t="str"/>
      <x:c r="H39" s="91" t="str">
        <x:f>IF(G39="","",IFERROR(VLOOKUP(G39,ELCD_Catalog!$A$2:$B$609,2,FALSE),""))</x:f>
      </x:c>
      <x:c r="I39" s="89" t="str"/>
      <x:c r="J39" s="89" t="str"/>
      <x:c r="K39" s="89" t="str"/>
    </x:row>
    <x:row r="40">
      <x:c r="A40" s="38" t="str">
        <x:v>A07</x:v>
      </x:c>
      <x:c r="B40" s="38" t="str">
        <x:v>Bamboo House with Attic</x:v>
      </x:c>
      <x:c r="C40" s="38" t="str">
        <x:v>Rebar</x:v>
      </x:c>
      <x:c r="D40" s="38" t="n">
        <x:v>674</x:v>
      </x:c>
      <x:c r="E40" s="38" t="str">
        <x:v>kg</x:v>
      </x:c>
      <x:c r="F40" s="89" t="str"/>
      <x:c r="G40" s="89" t="str"/>
      <x:c r="H40" s="91" t="str">
        <x:f>IF(G40="","",IFERROR(VLOOKUP(G40,ELCD_Catalog!$A$2:$B$609,2,FALSE),""))</x:f>
      </x:c>
      <x:c r="I40" s="89" t="str"/>
      <x:c r="J40" s="89" t="str"/>
      <x:c r="K40" s="89" t="str"/>
    </x:row>
    <x:row r="41">
      <x:c r="A41" s="38" t="str">
        <x:v>A08</x:v>
      </x:c>
      <x:c r="B41" s="38" t="str">
        <x:v>Bamboo House with Attic</x:v>
      </x:c>
      <x:c r="C41" s="38" t="str">
        <x:v>Soil</x:v>
      </x:c>
      <x:c r="D41" s="38" t="n">
        <x:v>3</x:v>
      </x:c>
      <x:c r="E41" s="38" t="str">
        <x:v>m³</x:v>
      </x:c>
      <x:c r="F41" s="89" t="str"/>
      <x:c r="G41" s="89" t="str"/>
      <x:c r="H41" s="91" t="str">
        <x:f>IF(G41="","",IFERROR(VLOOKUP(G41,ELCD_Catalog!$A$2:$B$609,2,FALSE),""))</x:f>
      </x:c>
      <x:c r="I41" s="89" t="str"/>
      <x:c r="J41" s="89" t="str"/>
      <x:c r="K41" s="89" t="str"/>
    </x:row>
    <x:row r="42">
      <x:c r="A42" s="39" t="str">
        <x:v>A09</x:v>
      </x:c>
      <x:c r="B42" s="39" t="str">
        <x:v>Bamboo House with Attic</x:v>
      </x:c>
      <x:c r="C42" s="39" t="str">
        <x:v>CGI Sheets</x:v>
      </x:c>
      <x:c r="D42" s="39" t="n">
        <x:v>478.07</x:v>
      </x:c>
      <x:c r="E42" s="39" t="str">
        <x:v>kg</x:v>
      </x:c>
      <x:c r="F42" s="90" t="str"/>
      <x:c r="G42" s="90" t="str"/>
      <x:c r="H42" s="92" t="str">
        <x:f>IF(G42="","",IFERROR(VLOOKUP(G42,ELCD_Catalog!$A$2:$B$609,2,FALSE),""))</x:f>
      </x:c>
      <x:c r="I42" s="90" t="str"/>
      <x:c r="J42" s="90" t="str"/>
      <x:c r="K42" s="90" t="str"/>
    </x:row>
  </x:sheetData>
  <x:mergeCells>
    <x:mergeCell ref="A1:K1"/>
    <x:mergeCell ref="B3:D3"/>
    <x:mergeCell ref="B4:D4"/>
    <x:mergeCell ref="B5:D5"/>
  </x:mergeCells>
  <x:dataValidations count="3">
    <x:dataValidation type="list" sqref="I8:I42">
      <x:formula1>"Direct,Proxy,Review Required"</x:formula1>
    </x:dataValidation>
    <x:dataValidation type="list" sqref="J8:J42">
      <x:formula1>"High,Medium,Low"</x:formula1>
    </x:dataValidation>
    <x:dataValidation type="list" sqref="G8:G42">
      <x:formula1>INDIRECT("ELCD_Catalog!$A$2:$A$609")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42" hidden="0" customWidth="1"/>
    <x:col min="4" max="4" width="10" hidden="0" customWidth="1"/>
    <x:col min="5" max="5" width="9" hidden="0" customWidth="1"/>
    <x:col min="6" max="6" width="26" hidden="0" customWidth="1"/>
    <x:col min="7" max="7" width="58" hidden="0" customWidth="1"/>
    <x:col min="8" max="8" width="38" hidden="0" customWidth="1"/>
    <x:col min="9" max="9" width="18" hidden="0" customWidth="1"/>
    <x:col min="10" max="10" width="12" hidden="0" customWidth="1"/>
    <x:col min="11" max="11" width="34" hidden="0" customWidth="1"/>
  </x:cols>
  <x:sheetData>
    <x:row r="1">
      <x:c r="A1" s="69" t="str">
        <x:v>Expert B – Independent Expert Review</x:v>
      </x:c>
      <x:c r="B1" s="69"/>
      <x:c r="C1" s="69"/>
      <x:c r="D1" s="69"/>
      <x:c r="E1" s="69"/>
      <x:c r="F1" s="69"/>
      <x:c r="G1" s="69"/>
      <x:c r="H1" s="69"/>
      <x:c r="I1" s="69"/>
      <x:c r="J1" s="69"/>
      <x:c r="K1" s="69"/>
    </x:row>
    <x:row r="2">
      <x:c r="A2" s="36"/>
      <x:c r="B2" s="36"/>
      <x:c r="C2" s="36"/>
      <x:c r="D2" s="36"/>
      <x:c r="E2" s="36"/>
      <x:c r="F2" s="36"/>
      <x:c r="G2" s="36"/>
      <x:c r="H2" s="36"/>
      <x:c r="I2" s="36"/>
      <x:c r="J2" s="36"/>
      <x:c r="K2" s="36"/>
    </x:row>
    <x:row r="3">
      <x:c r="A3" s="75" t="str">
        <x:v>Reviewer Name / Code</x:v>
      </x:c>
      <x:c r="B3" s="76" t="str"/>
      <x:c r="C3" s="77"/>
      <x:c r="D3" s="77"/>
      <x:c r="E3" s="36"/>
      <x:c r="F3" s="36"/>
      <x:c r="G3" s="36"/>
      <x:c r="H3" s="36"/>
      <x:c r="I3" s="36"/>
      <x:c r="J3" s="36"/>
      <x:c r="K3" s="36"/>
    </x:row>
    <x:row r="4">
      <x:c r="A4" s="75" t="str">
        <x:v>Relevant LCA Experience</x:v>
      </x:c>
      <x:c r="B4" s="76" t="str"/>
      <x:c r="C4" s="77"/>
      <x:c r="D4" s="77"/>
      <x:c r="E4" s="36"/>
      <x:c r="F4" s="36"/>
      <x:c r="G4" s="36"/>
      <x:c r="H4" s="36"/>
      <x:c r="I4" s="36"/>
      <x:c r="J4" s="36"/>
      <x:c r="K4" s="36"/>
    </x:row>
    <x:row r="5">
      <x:c r="A5" s="75" t="str">
        <x:v>Review Date</x:v>
      </x:c>
      <x:c r="B5" s="76" t="str"/>
      <x:c r="C5" s="77"/>
      <x:c r="D5" s="77"/>
      <x:c r="E5" s="36"/>
      <x:c r="F5" s="36"/>
      <x:c r="G5" s="36"/>
      <x:c r="H5" s="36"/>
      <x:c r="I5" s="36"/>
      <x:c r="J5" s="36"/>
      <x:c r="K5" s="36"/>
    </x:row>
    <x:row r="6">
      <x:c r="A6" s="36"/>
      <x:c r="B6" s="36"/>
      <x:c r="C6" s="36"/>
      <x:c r="D6" s="36"/>
      <x:c r="E6" s="36"/>
      <x:c r="F6" s="36"/>
      <x:c r="G6" s="36"/>
      <x:c r="H6" s="36"/>
      <x:c r="I6" s="36"/>
      <x:c r="J6" s="36"/>
      <x:c r="K6" s="36"/>
    </x:row>
    <x:row r="7">
      <x:c r="A7" s="22" t="str">
        <x:v>ID</x:v>
      </x:c>
      <x:c r="B7" s="60" t="str">
        <x:v>Case Study</x:v>
      </x:c>
      <x:c r="C7" s="60" t="str">
        <x:v>Original BOM Description</x:v>
      </x:c>
      <x:c r="D7" s="60" t="str">
        <x:v>Qty.</x:v>
      </x:c>
      <x:c r="E7" s="60" t="str">
        <x:v>Unit</x:v>
      </x:c>
      <x:c r="F7" s="60" t="str">
        <x:v>Normalized Material</x:v>
      </x:c>
      <x:c r="G7" s="60" t="str">
        <x:v>Best ELCD/openLCA Process (select from catalog)</x:v>
      </x:c>
      <x:c r="H7" s="60" t="str">
        <x:v>Process UUID (auto)</x:v>
      </x:c>
      <x:c r="I7" s="60" t="str">
        <x:v>Match Type</x:v>
      </x:c>
      <x:c r="J7" s="60" t="str">
        <x:v>Confidence</x:v>
      </x:c>
      <x:c r="K7" s="23" t="str">
        <x:v>Brief Notes / Rationale</x:v>
      </x:c>
    </x:row>
    <x:row r="8">
      <x:c r="A8" s="38" t="str">
        <x:v>S01</x:v>
      </x:c>
      <x:c r="B8" s="38" t="str">
        <x:v>Stonecrete House</x:v>
      </x:c>
      <x:c r="C8" s="38" t="str">
        <x:v>Ordinary Portland Cement (OPC 43-grade)</x:v>
      </x:c>
      <x:c r="D8" s="38" t="n">
        <x:v>5000</x:v>
      </x:c>
      <x:c r="E8" s="38" t="str">
        <x:v>kg</x:v>
      </x:c>
      <x:c r="F8" s="89" t="str"/>
      <x:c r="G8" s="89" t="str"/>
      <x:c r="H8" s="91" t="str">
        <x:f>IF(G8="","",IFERROR(VLOOKUP(G8,ELCD_Catalog!$A$2:$B$609,2,FALSE),""))</x:f>
      </x:c>
      <x:c r="I8" s="89" t="str"/>
      <x:c r="J8" s="89" t="str"/>
      <x:c r="K8" s="89" t="str"/>
    </x:row>
    <x:row r="9">
      <x:c r="A9" s="38" t="str">
        <x:v>S02</x:v>
      </x:c>
      <x:c r="B9" s="38" t="str">
        <x:v>Stonecrete House</x:v>
      </x:c>
      <x:c r="C9" s="38" t="str">
        <x:v>River Sand (clean, well-graded)</x:v>
      </x:c>
      <x:c r="D9" s="38" t="n">
        <x:v>24000</x:v>
      </x:c>
      <x:c r="E9" s="38" t="str">
        <x:v>kg</x:v>
      </x:c>
      <x:c r="F9" s="89" t="str"/>
      <x:c r="G9" s="89" t="str"/>
      <x:c r="H9" s="91" t="str">
        <x:f>IF(G9="","",IFERROR(VLOOKUP(G9,ELCD_Catalog!$A$2:$B$609,2,FALSE),""))</x:f>
      </x:c>
      <x:c r="I9" s="89" t="str"/>
      <x:c r="J9" s="89" t="str"/>
      <x:c r="K9" s="89" t="str"/>
    </x:row>
    <x:row r="10">
      <x:c r="A10" s="38" t="str">
        <x:v>S03</x:v>
      </x:c>
      <x:c r="B10" s="38" t="str">
        <x:v>Stonecrete House</x:v>
      </x:c>
      <x:c r="C10" s="38" t="str">
        <x:v>Natural Gravel</x:v>
      </x:c>
      <x:c r="D10" s="38" t="n">
        <x:v>12</x:v>
      </x:c>
      <x:c r="E10" s="38" t="str">
        <x:v>m³</x:v>
      </x:c>
      <x:c r="F10" s="89" t="str"/>
      <x:c r="G10" s="89" t="str"/>
      <x:c r="H10" s="91" t="str">
        <x:f>IF(G10="","",IFERROR(VLOOKUP(G10,ELCD_Catalog!$A$2:$B$609,2,FALSE),""))</x:f>
      </x:c>
      <x:c r="I10" s="89" t="str"/>
      <x:c r="J10" s="89" t="str"/>
      <x:c r="K10" s="89" t="str"/>
    </x:row>
    <x:row r="11">
      <x:c r="A11" s="38" t="str">
        <x:v>S04</x:v>
      </x:c>
      <x:c r="B11" s="38" t="str">
        <x:v>Stonecrete House</x:v>
      </x:c>
      <x:c r="C11" s="38" t="str">
        <x:v>Stone</x:v>
      </x:c>
      <x:c r="D11" s="38" t="n">
        <x:v>12</x:v>
      </x:c>
      <x:c r="E11" s="38" t="str">
        <x:v>m³</x:v>
      </x:c>
      <x:c r="F11" s="89" t="str"/>
      <x:c r="G11" s="89" t="str"/>
      <x:c r="H11" s="91" t="str">
        <x:f>IF(G11="","",IFERROR(VLOOKUP(G11,ELCD_Catalog!$A$2:$B$609,2,FALSE),""))</x:f>
      </x:c>
      <x:c r="I11" s="89" t="str"/>
      <x:c r="J11" s="89" t="str"/>
      <x:c r="K11" s="89" t="str"/>
    </x:row>
    <x:row r="12">
      <x:c r="A12" s="38" t="str">
        <x:v>S05</x:v>
      </x:c>
      <x:c r="B12" s="38" t="str">
        <x:v>Stonecrete House</x:v>
      </x:c>
      <x:c r="C12" s="38" t="str">
        <x:v>Plain Cement Concrete (PCC M10 — 1:3:6) - Binding Layer</x:v>
      </x:c>
      <x:c r="D12" s="38" t="n">
        <x:v>1.6</x:v>
      </x:c>
      <x:c r="E12" s="38" t="str">
        <x:v>m³</x:v>
      </x:c>
      <x:c r="F12" s="89" t="str"/>
      <x:c r="G12" s="89" t="str"/>
      <x:c r="H12" s="91" t="str">
        <x:f>IF(G12="","",IFERROR(VLOOKUP(G12,ELCD_Catalog!$A$2:$B$609,2,FALSE),""))</x:f>
      </x:c>
      <x:c r="I12" s="89" t="str"/>
      <x:c r="J12" s="89" t="str"/>
      <x:c r="K12" s="89" t="str"/>
    </x:row>
    <x:row r="13">
      <x:c r="A13" s="38" t="str">
        <x:v>S06</x:v>
      </x:c>
      <x:c r="B13" s="38" t="str">
        <x:v>Stonecrete House</x:v>
      </x:c>
      <x:c r="C13" s="38" t="str">
        <x:v>Stonecrete block</x:v>
      </x:c>
      <x:c r="D13" s="38" t="n">
        <x:v>3512.34</x:v>
      </x:c>
      <x:c r="E13" s="38" t="str">
        <x:v>kg</x:v>
      </x:c>
      <x:c r="F13" s="89" t="str"/>
      <x:c r="G13" s="89" t="str"/>
      <x:c r="H13" s="91" t="str">
        <x:f>IF(G13="","",IFERROR(VLOOKUP(G13,ELCD_Catalog!$A$2:$B$609,2,FALSE),""))</x:f>
      </x:c>
      <x:c r="I13" s="89" t="str"/>
      <x:c r="J13" s="89" t="str"/>
      <x:c r="K13" s="89" t="str"/>
    </x:row>
    <x:row r="14">
      <x:c r="A14" s="38" t="str">
        <x:v>S07</x:v>
      </x:c>
      <x:c r="B14" s="38" t="str">
        <x:v>Stonecrete House</x:v>
      </x:c>
      <x:c r="C14" s="38" t="str">
        <x:v>Rebar TMT Fe500</x:v>
      </x:c>
      <x:c r="D14" s="38" t="n">
        <x:v>250</x:v>
      </x:c>
      <x:c r="E14" s="38" t="str">
        <x:v>kg</x:v>
      </x:c>
      <x:c r="F14" s="89" t="str"/>
      <x:c r="G14" s="89" t="str"/>
      <x:c r="H14" s="91" t="str">
        <x:f>IF(G14="","",IFERROR(VLOOKUP(G14,ELCD_Catalog!$A$2:$B$609,2,FALSE),""))</x:f>
      </x:c>
      <x:c r="I14" s="89" t="str"/>
      <x:c r="J14" s="89" t="str"/>
      <x:c r="K14" s="89" t="str"/>
    </x:row>
    <x:row r="15">
      <x:c r="A15" s="38" t="str">
        <x:v>S08</x:v>
      </x:c>
      <x:c r="B15" s="38" t="str">
        <x:v>Stonecrete House</x:v>
      </x:c>
      <x:c r="C15" s="38" t="str">
        <x:v>Binding Wire (soft annealed, 18-gauge)</x:v>
      </x:c>
      <x:c r="D15" s="38" t="n">
        <x:v>5</x:v>
      </x:c>
      <x:c r="E15" s="38" t="str">
        <x:v>kg</x:v>
      </x:c>
      <x:c r="F15" s="89" t="str"/>
      <x:c r="G15" s="89" t="str"/>
      <x:c r="H15" s="91" t="str">
        <x:f>IF(G15="","",IFERROR(VLOOKUP(G15,ELCD_Catalog!$A$2:$B$609,2,FALSE),""))</x:f>
      </x:c>
      <x:c r="I15" s="89" t="str"/>
      <x:c r="J15" s="89" t="str"/>
      <x:c r="K15" s="89" t="str"/>
    </x:row>
    <x:row r="16">
      <x:c r="A16" s="38" t="str">
        <x:v>S09</x:v>
      </x:c>
      <x:c r="B16" s="38" t="str">
        <x:v>Stonecrete House</x:v>
      </x:c>
      <x:c r="C16" s="38" t="str">
        <x:v>Corrugated Galvanized Iron (CGI) Sheet, 0.45 mm BMT</x:v>
      </x:c>
      <x:c r="D16" s="38" t="n">
        <x:v>190.71</x:v>
      </x:c>
      <x:c r="E16" s="38" t="str">
        <x:v>kg</x:v>
      </x:c>
      <x:c r="F16" s="89" t="str"/>
      <x:c r="G16" s="89" t="str"/>
      <x:c r="H16" s="91" t="str">
        <x:f>IF(G16="","",IFERROR(VLOOKUP(G16,ELCD_Catalog!$A$2:$B$609,2,FALSE),""))</x:f>
      </x:c>
      <x:c r="I16" s="89" t="str"/>
      <x:c r="J16" s="89" t="str"/>
      <x:c r="K16" s="89" t="str"/>
    </x:row>
    <x:row r="17">
      <x:c r="A17" s="38" t="str">
        <x:v>S10</x:v>
      </x:c>
      <x:c r="B17" s="38" t="str">
        <x:v>Stonecrete House</x:v>
      </x:c>
      <x:c r="C17" s="38" t="str">
        <x:v>Timber for purlin, rafter, and column post</x:v>
      </x:c>
      <x:c r="D17" s="38" t="n">
        <x:v>2.08</x:v>
      </x:c>
      <x:c r="E17" s="38" t="str">
        <x:v>m³</x:v>
      </x:c>
      <x:c r="F17" s="89" t="str"/>
      <x:c r="G17" s="89" t="str"/>
      <x:c r="H17" s="91" t="str">
        <x:f>IF(G17="","",IFERROR(VLOOKUP(G17,ELCD_Catalog!$A$2:$B$609,2,FALSE),""))</x:f>
      </x:c>
      <x:c r="I17" s="89" t="str"/>
      <x:c r="J17" s="89" t="str"/>
      <x:c r="K17" s="89" t="str"/>
    </x:row>
    <x:row r="18">
      <x:c r="A18" s="38" t="str">
        <x:v>S11</x:v>
      </x:c>
      <x:c r="B18" s="38" t="str">
        <x:v>Stonecrete House</x:v>
      </x:c>
      <x:c r="C18" s="38" t="str">
        <x:v>Plaster 1:4 — External Walls, 15 mm thick</x:v>
      </x:c>
      <x:c r="D18" s="38" t="n">
        <x:v>65</x:v>
      </x:c>
      <x:c r="E18" s="38" t="str">
        <x:v>m²</x:v>
      </x:c>
      <x:c r="F18" s="89" t="str"/>
      <x:c r="G18" s="89" t="str"/>
      <x:c r="H18" s="91" t="str">
        <x:f>IF(G18="","",IFERROR(VLOOKUP(G18,ELCD_Catalog!$A$2:$B$609,2,FALSE),""))</x:f>
      </x:c>
      <x:c r="I18" s="89" t="str"/>
      <x:c r="J18" s="89" t="str"/>
      <x:c r="K18" s="89" t="str"/>
    </x:row>
    <x:row r="19">
      <x:c r="A19" s="38" t="str">
        <x:v>S12</x:v>
      </x:c>
      <x:c r="B19" s="38" t="str">
        <x:v>Stonecrete House</x:v>
      </x:c>
      <x:c r="C19" s="38" t="str">
        <x:v>Plaster 1:6 — Internal Walls, 12 mm thick</x:v>
      </x:c>
      <x:c r="D19" s="38" t="n">
        <x:v>128</x:v>
      </x:c>
      <x:c r="E19" s="38" t="str">
        <x:v>m²</x:v>
      </x:c>
      <x:c r="F19" s="89" t="str"/>
      <x:c r="G19" s="89" t="str"/>
      <x:c r="H19" s="91" t="str">
        <x:f>IF(G19="","",IFERROR(VLOOKUP(G19,ELCD_Catalog!$A$2:$B$609,2,FALSE),""))</x:f>
      </x:c>
      <x:c r="I19" s="89" t="str"/>
      <x:c r="J19" s="89" t="str"/>
      <x:c r="K19" s="89" t="str"/>
    </x:row>
    <x:row r="20">
      <x:c r="A20" s="38" t="str">
        <x:v>B01</x:v>
      </x:c>
      <x:c r="B20" s="38" t="str">
        <x:v>Bamboo House</x:v>
      </x:c>
      <x:c r="C20" s="38" t="str">
        <x:v>Cement</x:v>
      </x:c>
      <x:c r="D20" s="38" t="n">
        <x:v>1250</x:v>
      </x:c>
      <x:c r="E20" s="38" t="str">
        <x:v>kg</x:v>
      </x:c>
      <x:c r="F20" s="89" t="str"/>
      <x:c r="G20" s="89" t="str"/>
      <x:c r="H20" s="91" t="str">
        <x:f>IF(G20="","",IFERROR(VLOOKUP(G20,ELCD_Catalog!$A$2:$B$609,2,FALSE),""))</x:f>
      </x:c>
      <x:c r="I20" s="89" t="str"/>
      <x:c r="J20" s="89" t="str"/>
      <x:c r="K20" s="89" t="str"/>
    </x:row>
    <x:row r="21">
      <x:c r="A21" s="38" t="str">
        <x:v>B02</x:v>
      </x:c>
      <x:c r="B21" s="38" t="str">
        <x:v>Bamboo House</x:v>
      </x:c>
      <x:c r="C21" s="38" t="str">
        <x:v>Sand</x:v>
      </x:c>
      <x:c r="D21" s="38" t="n">
        <x:v>9600</x:v>
      </x:c>
      <x:c r="E21" s="38" t="str">
        <x:v>kg</x:v>
      </x:c>
      <x:c r="F21" s="89" t="str"/>
      <x:c r="G21" s="89" t="str"/>
      <x:c r="H21" s="91" t="str">
        <x:f>IF(G21="","",IFERROR(VLOOKUP(G21,ELCD_Catalog!$A$2:$B$609,2,FALSE),""))</x:f>
      </x:c>
      <x:c r="I21" s="89" t="str"/>
      <x:c r="J21" s="89" t="str"/>
      <x:c r="K21" s="89" t="str"/>
    </x:row>
    <x:row r="22">
      <x:c r="A22" s="38" t="str">
        <x:v>B03</x:v>
      </x:c>
      <x:c r="B22" s="38" t="str">
        <x:v>Bamboo House</x:v>
      </x:c>
      <x:c r="C22" s="38" t="str">
        <x:v>Natural Gravel</x:v>
      </x:c>
      <x:c r="D22" s="38" t="n">
        <x:v>6</x:v>
      </x:c>
      <x:c r="E22" s="38" t="str">
        <x:v>m³</x:v>
      </x:c>
      <x:c r="F22" s="89" t="str"/>
      <x:c r="G22" s="89" t="str"/>
      <x:c r="H22" s="91" t="str">
        <x:f>IF(G22="","",IFERROR(VLOOKUP(G22,ELCD_Catalog!$A$2:$B$609,2,FALSE),""))</x:f>
      </x:c>
      <x:c r="I22" s="89" t="str"/>
      <x:c r="J22" s="89" t="str"/>
      <x:c r="K22" s="89" t="str"/>
    </x:row>
    <x:row r="23">
      <x:c r="A23" s="38" t="str">
        <x:v>B04</x:v>
      </x:c>
      <x:c r="B23" s="38" t="str">
        <x:v>Bamboo House</x:v>
      </x:c>
      <x:c r="C23" s="38" t="str">
        <x:v>Stone</x:v>
      </x:c>
      <x:c r="D23" s="38" t="n">
        <x:v>9</x:v>
      </x:c>
      <x:c r="E23" s="38" t="str">
        <x:v>m³</x:v>
      </x:c>
      <x:c r="F23" s="89" t="str"/>
      <x:c r="G23" s="89" t="str"/>
      <x:c r="H23" s="91" t="str">
        <x:f>IF(G23="","",IFERROR(VLOOKUP(G23,ELCD_Catalog!$A$2:$B$609,2,FALSE),""))</x:f>
      </x:c>
      <x:c r="I23" s="89" t="str"/>
      <x:c r="J23" s="89" t="str"/>
      <x:c r="K23" s="89" t="str"/>
    </x:row>
    <x:row r="24">
      <x:c r="A24" s="38" t="str">
        <x:v>B05</x:v>
      </x:c>
      <x:c r="B24" s="38" t="str">
        <x:v>Bamboo House</x:v>
      </x:c>
      <x:c r="C24" s="38" t="str">
        <x:v>Soil</x:v>
      </x:c>
      <x:c r="D24" s="38" t="n">
        <x:v>12</x:v>
      </x:c>
      <x:c r="E24" s="38" t="str">
        <x:v>m³</x:v>
      </x:c>
      <x:c r="F24" s="89" t="str"/>
      <x:c r="G24" s="89" t="str"/>
      <x:c r="H24" s="91" t="str">
        <x:f>IF(G24="","",IFERROR(VLOOKUP(G24,ELCD_Catalog!$A$2:$B$609,2,FALSE),""))</x:f>
      </x:c>
      <x:c r="I24" s="89" t="str"/>
      <x:c r="J24" s="89" t="str"/>
      <x:c r="K24" s="89" t="str"/>
    </x:row>
    <x:row r="25">
      <x:c r="A25" s="38" t="str">
        <x:v>B06</x:v>
      </x:c>
      <x:c r="B25" s="38" t="str">
        <x:v>Bamboo House</x:v>
      </x:c>
      <x:c r="C25" s="38" t="str">
        <x:v>Local Wood</x:v>
      </x:c>
      <x:c r="D25" s="38" t="n">
        <x:v>0.21</x:v>
      </x:c>
      <x:c r="E25" s="38" t="str">
        <x:v>m³</x:v>
      </x:c>
      <x:c r="F25" s="89" t="str"/>
      <x:c r="G25" s="89" t="str"/>
      <x:c r="H25" s="91" t="str">
        <x:f>IF(G25="","",IFERROR(VLOOKUP(G25,ELCD_Catalog!$A$2:$B$609,2,FALSE),""))</x:f>
      </x:c>
      <x:c r="I25" s="89" t="str"/>
      <x:c r="J25" s="89" t="str"/>
      <x:c r="K25" s="89" t="str"/>
    </x:row>
    <x:row r="26">
      <x:c r="A26" s="38" t="str">
        <x:v>B07</x:v>
      </x:c>
      <x:c r="B26" s="38" t="str">
        <x:v>Bamboo House</x:v>
      </x:c>
      <x:c r="C26" s="38" t="str">
        <x:v>19mm Plywood</x:v>
      </x:c>
      <x:c r="D26" s="38" t="n">
        <x:v>4</x:v>
      </x:c>
      <x:c r="E26" s="38" t="str">
        <x:v>m²</x:v>
      </x:c>
      <x:c r="F26" s="89" t="str"/>
      <x:c r="G26" s="89" t="str"/>
      <x:c r="H26" s="91" t="str">
        <x:f>IF(G26="","",IFERROR(VLOOKUP(G26,ELCD_Catalog!$A$2:$B$609,2,FALSE),""))</x:f>
      </x:c>
      <x:c r="I26" s="89" t="str"/>
      <x:c r="J26" s="89" t="str"/>
      <x:c r="K26" s="89" t="str"/>
    </x:row>
    <x:row r="27">
      <x:c r="A27" s="38" t="str">
        <x:v>B08</x:v>
      </x:c>
      <x:c r="B27" s="38" t="str">
        <x:v>Bamboo House</x:v>
      </x:c>
      <x:c r="C27" s="38" t="str">
        <x:v>Nail</x:v>
      </x:c>
      <x:c r="D27" s="38" t="n">
        <x:v>2</x:v>
      </x:c>
      <x:c r="E27" s="38" t="str">
        <x:v>kg</x:v>
      </x:c>
      <x:c r="F27" s="89" t="str"/>
      <x:c r="G27" s="89" t="str"/>
      <x:c r="H27" s="91" t="str">
        <x:f>IF(G27="","",IFERROR(VLOOKUP(G27,ELCD_Catalog!$A$2:$B$609,2,FALSE),""))</x:f>
      </x:c>
      <x:c r="I27" s="89" t="str"/>
      <x:c r="J27" s="89" t="str"/>
      <x:c r="K27" s="89" t="str"/>
    </x:row>
    <x:row r="28">
      <x:c r="A28" s="38" t="str">
        <x:v>B09</x:v>
      </x:c>
      <x:c r="B28" s="38" t="str">
        <x:v>Bamboo House</x:v>
      </x:c>
      <x:c r="C28" s="38" t="str">
        <x:v>10mm Rebar</x:v>
      </x:c>
      <x:c r="D28" s="38" t="n">
        <x:v>116</x:v>
      </x:c>
      <x:c r="E28" s="38" t="str">
        <x:v>kg</x:v>
      </x:c>
      <x:c r="F28" s="89" t="str"/>
      <x:c r="G28" s="89" t="str"/>
      <x:c r="H28" s="91" t="str">
        <x:f>IF(G28="","",IFERROR(VLOOKUP(G28,ELCD_Catalog!$A$2:$B$609,2,FALSE),""))</x:f>
      </x:c>
      <x:c r="I28" s="89" t="str"/>
      <x:c r="J28" s="89" t="str"/>
      <x:c r="K28" s="89" t="str"/>
    </x:row>
    <x:row r="29">
      <x:c r="A29" s="38" t="str">
        <x:v>B10</x:v>
      </x:c>
      <x:c r="B29" s="38" t="str">
        <x:v>Bamboo House</x:v>
      </x:c>
      <x:c r="C29" s="38" t="str">
        <x:v>7mm Rebar</x:v>
      </x:c>
      <x:c r="D29" s="38" t="n">
        <x:v>51</x:v>
      </x:c>
      <x:c r="E29" s="38" t="str">
        <x:v>kg</x:v>
      </x:c>
      <x:c r="F29" s="89" t="str"/>
      <x:c r="G29" s="89" t="str"/>
      <x:c r="H29" s="91" t="str">
        <x:f>IF(G29="","",IFERROR(VLOOKUP(G29,ELCD_Catalog!$A$2:$B$609,2,FALSE),""))</x:f>
      </x:c>
      <x:c r="I29" s="89" t="str"/>
      <x:c r="J29" s="89" t="str"/>
      <x:c r="K29" s="89" t="str"/>
    </x:row>
    <x:row r="30">
      <x:c r="A30" s="38" t="str">
        <x:v>B11</x:v>
      </x:c>
      <x:c r="B30" s="38" t="str">
        <x:v>Bamboo House</x:v>
      </x:c>
      <x:c r="C30" s="38" t="str">
        <x:v>Binding Wire</x:v>
      </x:c>
      <x:c r="D30" s="38" t="n">
        <x:v>4</x:v>
      </x:c>
      <x:c r="E30" s="38" t="str">
        <x:v>kg</x:v>
      </x:c>
      <x:c r="F30" s="89" t="str"/>
      <x:c r="G30" s="89" t="str"/>
      <x:c r="H30" s="91" t="str">
        <x:f>IF(G30="","",IFERROR(VLOOKUP(G30,ELCD_Catalog!$A$2:$B$609,2,FALSE),""))</x:f>
      </x:c>
      <x:c r="I30" s="89" t="str"/>
      <x:c r="J30" s="89" t="str"/>
      <x:c r="K30" s="89" t="str"/>
    </x:row>
    <x:row r="31">
      <x:c r="A31" s="38" t="str">
        <x:v>B12</x:v>
      </x:c>
      <x:c r="B31" s="38" t="str">
        <x:v>Bamboo House</x:v>
      </x:c>
      <x:c r="C31" s="38" t="str">
        <x:v>24 Gauge CGI Sheets</x:v>
      </x:c>
      <x:c r="D31" s="38" t="n">
        <x:v>630</x:v>
      </x:c>
      <x:c r="E31" s="38" t="str">
        <x:v>kg</x:v>
      </x:c>
      <x:c r="F31" s="89" t="str"/>
      <x:c r="G31" s="89" t="str"/>
      <x:c r="H31" s="91" t="str">
        <x:f>IF(G31="","",IFERROR(VLOOKUP(G31,ELCD_Catalog!$A$2:$B$609,2,FALSE),""))</x:f>
      </x:c>
      <x:c r="I31" s="89" t="str"/>
      <x:c r="J31" s="89" t="str"/>
      <x:c r="K31" s="89" t="str"/>
    </x:row>
    <x:row r="32">
      <x:c r="A32" s="38" t="str">
        <x:v>B13</x:v>
      </x:c>
      <x:c r="B32" s="38" t="str">
        <x:v>Bamboo House</x:v>
      </x:c>
      <x:c r="C32" s="38" t="str">
        <x:v>3mm Commercial Plywood</x:v>
      </x:c>
      <x:c r="D32" s="38" t="n">
        <x:v>3</x:v>
      </x:c>
      <x:c r="E32" s="38" t="str">
        <x:v>m²</x:v>
      </x:c>
      <x:c r="F32" s="89" t="str"/>
      <x:c r="G32" s="89" t="str"/>
      <x:c r="H32" s="91" t="str">
        <x:f>IF(G32="","",IFERROR(VLOOKUP(G32,ELCD_Catalog!$A$2:$B$609,2,FALSE),""))</x:f>
      </x:c>
      <x:c r="I32" s="89" t="str"/>
      <x:c r="J32" s="89" t="str"/>
      <x:c r="K32" s="89" t="str"/>
    </x:row>
    <x:row r="33">
      <x:c r="A33" s="38" t="str">
        <x:v>B14</x:v>
      </x:c>
      <x:c r="B33" s="38" t="str">
        <x:v>Bamboo House</x:v>
      </x:c>
      <x:c r="C33" s="38" t="str">
        <x:v>Bamboo</x:v>
      </x:c>
      <x:c r="D33" s="38" t="n">
        <x:v>4.82</x:v>
      </x:c>
      <x:c r="E33" s="38" t="str">
        <x:v>m³</x:v>
      </x:c>
      <x:c r="F33" s="89" t="str"/>
      <x:c r="G33" s="89" t="str"/>
      <x:c r="H33" s="91" t="str">
        <x:f>IF(G33="","",IFERROR(VLOOKUP(G33,ELCD_Catalog!$A$2:$B$609,2,FALSE),""))</x:f>
      </x:c>
      <x:c r="I33" s="89" t="str"/>
      <x:c r="J33" s="89" t="str"/>
      <x:c r="K33" s="89" t="str"/>
    </x:row>
    <x:row r="34">
      <x:c r="A34" s="38" t="str">
        <x:v>A01</x:v>
      </x:c>
      <x:c r="B34" s="38" t="str">
        <x:v>Bamboo House with Attic</x:v>
      </x:c>
      <x:c r="C34" s="38" t="str">
        <x:v>Cement</x:v>
      </x:c>
      <x:c r="D34" s="38" t="n">
        <x:v>7300</x:v>
      </x:c>
      <x:c r="E34" s="38" t="str">
        <x:v>kg</x:v>
      </x:c>
      <x:c r="F34" s="89" t="str"/>
      <x:c r="G34" s="89" t="str"/>
      <x:c r="H34" s="91" t="str">
        <x:f>IF(G34="","",IFERROR(VLOOKUP(G34,ELCD_Catalog!$A$2:$B$609,2,FALSE),""))</x:f>
      </x:c>
      <x:c r="I34" s="89" t="str"/>
      <x:c r="J34" s="89" t="str"/>
      <x:c r="K34" s="89" t="str"/>
    </x:row>
    <x:row r="35">
      <x:c r="A35" s="38" t="str">
        <x:v>A02</x:v>
      </x:c>
      <x:c r="B35" s="38" t="str">
        <x:v>Bamboo House with Attic</x:v>
      </x:c>
      <x:c r="C35" s="38" t="str">
        <x:v>Sand</x:v>
      </x:c>
      <x:c r="D35" s="38" t="n">
        <x:v>27200</x:v>
      </x:c>
      <x:c r="E35" s="38" t="str">
        <x:v>kg</x:v>
      </x:c>
      <x:c r="F35" s="89" t="str"/>
      <x:c r="G35" s="89" t="str"/>
      <x:c r="H35" s="91" t="str">
        <x:f>IF(G35="","",IFERROR(VLOOKUP(G35,ELCD_Catalog!$A$2:$B$609,2,FALSE),""))</x:f>
      </x:c>
      <x:c r="I35" s="89" t="str"/>
      <x:c r="J35" s="89" t="str"/>
      <x:c r="K35" s="89" t="str"/>
    </x:row>
    <x:row r="36">
      <x:c r="A36" s="38" t="str">
        <x:v>A03</x:v>
      </x:c>
      <x:c r="B36" s="38" t="str">
        <x:v>Bamboo House with Attic</x:v>
      </x:c>
      <x:c r="C36" s="38" t="str">
        <x:v>Natural Gravel</x:v>
      </x:c>
      <x:c r="D36" s="38" t="n">
        <x:v>6</x:v>
      </x:c>
      <x:c r="E36" s="38" t="str">
        <x:v>m³</x:v>
      </x:c>
      <x:c r="F36" s="89" t="str"/>
      <x:c r="G36" s="89" t="str"/>
      <x:c r="H36" s="91" t="str">
        <x:f>IF(G36="","",IFERROR(VLOOKUP(G36,ELCD_Catalog!$A$2:$B$609,2,FALSE),""))</x:f>
      </x:c>
      <x:c r="I36" s="89" t="str"/>
      <x:c r="J36" s="89" t="str"/>
      <x:c r="K36" s="89" t="str"/>
    </x:row>
    <x:row r="37">
      <x:c r="A37" s="38" t="str">
        <x:v>A04</x:v>
      </x:c>
      <x:c r="B37" s="38" t="str">
        <x:v>Bamboo House with Attic</x:v>
      </x:c>
      <x:c r="C37" s="38" t="str">
        <x:v>Soil Blocks</x:v>
      </x:c>
      <x:c r="D37" s="38" t="n">
        <x:v>6042</x:v>
      </x:c>
      <x:c r="E37" s="38" t="str">
        <x:v>Nos.</x:v>
      </x:c>
      <x:c r="F37" s="89" t="str"/>
      <x:c r="G37" s="89" t="str"/>
      <x:c r="H37" s="91" t="str">
        <x:f>IF(G37="","",IFERROR(VLOOKUP(G37,ELCD_Catalog!$A$2:$B$609,2,FALSE),""))</x:f>
      </x:c>
      <x:c r="I37" s="89" t="str"/>
      <x:c r="J37" s="89" t="str"/>
      <x:c r="K37" s="89" t="str"/>
    </x:row>
    <x:row r="38">
      <x:c r="A38" s="38" t="str">
        <x:v>A05</x:v>
      </x:c>
      <x:c r="B38" s="38" t="str">
        <x:v>Bamboo House with Attic</x:v>
      </x:c>
      <x:c r="C38" s="38" t="str">
        <x:v>Wood</x:v>
      </x:c>
      <x:c r="D38" s="38" t="n">
        <x:v>0.264</x:v>
      </x:c>
      <x:c r="E38" s="38" t="str">
        <x:v>m³</x:v>
      </x:c>
      <x:c r="F38" s="89" t="str"/>
      <x:c r="G38" s="89" t="str"/>
      <x:c r="H38" s="91" t="str">
        <x:f>IF(G38="","",IFERROR(VLOOKUP(G38,ELCD_Catalog!$A$2:$B$609,2,FALSE),""))</x:f>
      </x:c>
      <x:c r="I38" s="89" t="str"/>
      <x:c r="J38" s="89" t="str"/>
      <x:c r="K38" s="89" t="str"/>
    </x:row>
    <x:row r="39">
      <x:c r="A39" s="38" t="str">
        <x:v>A06</x:v>
      </x:c>
      <x:c r="B39" s="38" t="str">
        <x:v>Bamboo House with Attic</x:v>
      </x:c>
      <x:c r="C39" s="38" t="str">
        <x:v>Bamboo</x:v>
      </x:c>
      <x:c r="D39" s="38" t="n">
        <x:v>5.915</x:v>
      </x:c>
      <x:c r="E39" s="38" t="str">
        <x:v>m³</x:v>
      </x:c>
      <x:c r="F39" s="89" t="str"/>
      <x:c r="G39" s="89" t="str"/>
      <x:c r="H39" s="91" t="str">
        <x:f>IF(G39="","",IFERROR(VLOOKUP(G39,ELCD_Catalog!$A$2:$B$609,2,FALSE),""))</x:f>
      </x:c>
      <x:c r="I39" s="89" t="str"/>
      <x:c r="J39" s="89" t="str"/>
      <x:c r="K39" s="89" t="str"/>
    </x:row>
    <x:row r="40">
      <x:c r="A40" s="38" t="str">
        <x:v>A07</x:v>
      </x:c>
      <x:c r="B40" s="38" t="str">
        <x:v>Bamboo House with Attic</x:v>
      </x:c>
      <x:c r="C40" s="38" t="str">
        <x:v>Rebar</x:v>
      </x:c>
      <x:c r="D40" s="38" t="n">
        <x:v>674</x:v>
      </x:c>
      <x:c r="E40" s="38" t="str">
        <x:v>kg</x:v>
      </x:c>
      <x:c r="F40" s="89" t="str"/>
      <x:c r="G40" s="89" t="str"/>
      <x:c r="H40" s="91" t="str">
        <x:f>IF(G40="","",IFERROR(VLOOKUP(G40,ELCD_Catalog!$A$2:$B$609,2,FALSE),""))</x:f>
      </x:c>
      <x:c r="I40" s="89" t="str"/>
      <x:c r="J40" s="89" t="str"/>
      <x:c r="K40" s="89" t="str"/>
    </x:row>
    <x:row r="41">
      <x:c r="A41" s="38" t="str">
        <x:v>A08</x:v>
      </x:c>
      <x:c r="B41" s="38" t="str">
        <x:v>Bamboo House with Attic</x:v>
      </x:c>
      <x:c r="C41" s="38" t="str">
        <x:v>Soil</x:v>
      </x:c>
      <x:c r="D41" s="38" t="n">
        <x:v>3</x:v>
      </x:c>
      <x:c r="E41" s="38" t="str">
        <x:v>m³</x:v>
      </x:c>
      <x:c r="F41" s="89" t="str"/>
      <x:c r="G41" s="89" t="str"/>
      <x:c r="H41" s="91" t="str">
        <x:f>IF(G41="","",IFERROR(VLOOKUP(G41,ELCD_Catalog!$A$2:$B$609,2,FALSE),""))</x:f>
      </x:c>
      <x:c r="I41" s="89" t="str"/>
      <x:c r="J41" s="89" t="str"/>
      <x:c r="K41" s="89" t="str"/>
    </x:row>
    <x:row r="42">
      <x:c r="A42" s="39" t="str">
        <x:v>A09</x:v>
      </x:c>
      <x:c r="B42" s="39" t="str">
        <x:v>Bamboo House with Attic</x:v>
      </x:c>
      <x:c r="C42" s="39" t="str">
        <x:v>CGI Sheets</x:v>
      </x:c>
      <x:c r="D42" s="39" t="n">
        <x:v>478.07</x:v>
      </x:c>
      <x:c r="E42" s="39" t="str">
        <x:v>kg</x:v>
      </x:c>
      <x:c r="F42" s="90" t="str"/>
      <x:c r="G42" s="90" t="str"/>
      <x:c r="H42" s="92" t="str">
        <x:f>IF(G42="","",IFERROR(VLOOKUP(G42,ELCD_Catalog!$A$2:$B$609,2,FALSE),""))</x:f>
      </x:c>
      <x:c r="I42" s="90" t="str"/>
      <x:c r="J42" s="90" t="str"/>
      <x:c r="K42" s="90" t="str"/>
    </x:row>
  </x:sheetData>
  <x:mergeCells>
    <x:mergeCell ref="A1:K1"/>
    <x:mergeCell ref="B3:D3"/>
    <x:mergeCell ref="B4:D4"/>
    <x:mergeCell ref="B5:D5"/>
  </x:mergeCells>
  <x:dataValidations count="3">
    <x:dataValidation type="list" sqref="I8:I42">
      <x:formula1>"Direct,Proxy,Review Required"</x:formula1>
    </x:dataValidation>
    <x:dataValidation type="list" sqref="J8:J42">
      <x:formula1>"High,Medium,Low"</x:formula1>
    </x:dataValidation>
    <x:dataValidation type="list" sqref="G8:G42">
      <x:formula1>INDIRECT("ELCD_Catalog!$A$2:$A$609")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40" hidden="0" customWidth="1"/>
    <x:col min="3" max="3" width="25" hidden="0" customWidth="1"/>
    <x:col min="4" max="4" width="58" hidden="0" customWidth="1"/>
    <x:col min="5" max="5" width="16" hidden="0" customWidth="1"/>
    <x:col min="6" max="6" width="25" hidden="0" customWidth="1"/>
    <x:col min="7" max="7" width="58" hidden="0" customWidth="1"/>
    <x:col min="8" max="8" width="16" hidden="0" customWidth="1"/>
    <x:col min="9" max="9" width="15" hidden="0" customWidth="1"/>
    <x:col min="10" max="10" width="27" hidden="0" customWidth="1"/>
    <x:col min="11" max="11" width="58" hidden="0" customWidth="1"/>
    <x:col min="12" max="12" width="38" hidden="0" customWidth="1"/>
    <x:col min="13" max="13" width="18" hidden="0" customWidth="1"/>
    <x:col min="14" max="14" width="27" hidden="0" customWidth="1"/>
    <x:col min="15" max="15" width="58" hidden="0" customWidth="1"/>
    <x:col min="16" max="16" width="18" hidden="0" customWidth="1"/>
    <x:col min="17" max="17" width="22" hidden="0" customWidth="1"/>
    <x:col min="18" max="18" width="34" hidden="0" customWidth="1"/>
  </x:cols>
  <x:sheetData>
    <x:row r="1">
      <x:c r="A1" s="94" t="str">
        <x:v>Reconciliation and Later LLM Review</x:v>
      </x:c>
      <x:c r="B1" s="94"/>
      <x:c r="C1" s="94"/>
      <x:c r="D1" s="94"/>
      <x:c r="E1" s="94"/>
      <x:c r="F1" s="94"/>
      <x:c r="G1" s="94"/>
      <x:c r="H1" s="94"/>
      <x:c r="I1" s="94"/>
      <x:c r="J1" s="94"/>
      <x:c r="K1" s="94"/>
      <x:c r="L1" s="94"/>
      <x:c r="M1" s="94"/>
      <x:c r="N1" s="94"/>
      <x:c r="O1" s="94"/>
      <x:c r="P1" s="94"/>
      <x:c r="Q1" s="94"/>
      <x:c r="R1" s="97"/>
    </x:row>
    <x:row r="2">
      <x:c r="A2" s="36"/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  <x:c r="M2" s="36"/>
      <x:c r="N2" s="36"/>
      <x:c r="O2" s="36"/>
      <x:c r="P2" s="36"/>
      <x:c r="Q2" s="36"/>
    </x:row>
    <x:row r="3">
      <x:c r="A3" s="98" t="str">
        <x:v>Metric</x:v>
      </x:c>
      <x:c r="B3" s="99" t="str">
        <x:v>Value</x:v>
      </x:c>
      <x:c r="C3" s="36" t="str"/>
      <x:c r="D3" s="98" t="str">
        <x:v>Summary</x:v>
      </x:c>
      <x:c r="E3" s="99" t="str">
        <x:v>Value</x:v>
      </x:c>
      <x:c r="F3" s="36"/>
      <x:c r="G3" s="36"/>
      <x:c r="H3" s="36"/>
      <x:c r="I3" s="36"/>
      <x:c r="J3" s="36"/>
      <x:c r="K3" s="36"/>
      <x:c r="L3" s="36"/>
      <x:c r="M3" s="36"/>
      <x:c r="N3" s="36"/>
      <x:c r="O3" s="36"/>
      <x:c r="P3" s="36"/>
      <x:c r="Q3" s="36"/>
    </x:row>
    <x:row r="4">
      <x:c r="A4" s="36" t="str">
        <x:v>Expert rows</x:v>
      </x:c>
      <x:c r="B4" s="36" t="n">
        <x:v>35</x:v>
      </x:c>
      <x:c r="C4" s="36" t="str"/>
      <x:c r="D4" s="36" t="str">
        <x:v>Expert agreement</x:v>
      </x:c>
      <x:c r="E4" s="73" t="n">
        <x:f>COUNTIF(I7:I41,"AGREE")/35</x:f>
        <x:v>0</x:v>
      </x:c>
      <x:c r="F4" s="36"/>
      <x:c r="G4" s="36"/>
      <x:c r="H4" s="36"/>
      <x:c r="I4" s="36"/>
      <x:c r="J4" s="36"/>
      <x:c r="K4" s="36"/>
      <x:c r="L4" s="36"/>
      <x:c r="M4" s="36"/>
      <x:c r="N4" s="36"/>
      <x:c r="O4" s="36"/>
      <x:c r="P4" s="36"/>
      <x:c r="Q4" s="36"/>
    </x:row>
    <x:row r="5">
      <x:c r="A5" s="36" t="str"/>
      <x:c r="B5" s="36" t="str"/>
      <x:c r="C5" s="36" t="str"/>
      <x:c r="D5" s="36" t="str">
        <x:v>Final reference completed</x:v>
      </x:c>
      <x:c r="E5" s="73" t="n">
        <x:f>COUNTIF(J7:J41,"&lt;&gt;")/35</x:f>
        <x:v>0</x:v>
      </x:c>
      <x:c r="F5" s="36"/>
      <x:c r="G5" s="36"/>
      <x:c r="H5" s="36"/>
      <x:c r="I5" s="36"/>
      <x:c r="J5" s="36"/>
      <x:c r="K5" s="36"/>
      <x:c r="L5" s="36"/>
      <x:c r="M5" s="36"/>
      <x:c r="N5" s="36"/>
      <x:c r="O5" s="36"/>
      <x:c r="P5" s="36"/>
      <x:c r="Q5" s="36"/>
    </x:row>
    <x:row r="6">
      <x:c r="A6" s="98" t="str">
        <x:v>ID</x:v>
      </x:c>
      <x:c r="B6" s="100" t="str">
        <x:v>Original BOM Description</x:v>
      </x:c>
      <x:c r="C6" s="100" t="str">
        <x:v>Expert A Normalized</x:v>
      </x:c>
      <x:c r="D6" s="100" t="str">
        <x:v>Expert A Process</x:v>
      </x:c>
      <x:c r="E6" s="100" t="str">
        <x:v>Expert A Decision</x:v>
      </x:c>
      <x:c r="F6" s="100" t="str">
        <x:v>Expert B Normalized</x:v>
      </x:c>
      <x:c r="G6" s="100" t="str">
        <x:v>Expert B Process</x:v>
      </x:c>
      <x:c r="H6" s="100" t="str">
        <x:v>Expert B Decision</x:v>
      </x:c>
      <x:c r="I6" s="100" t="str">
        <x:v>Agreement?</x:v>
      </x:c>
      <x:c r="J6" s="100" t="str">
        <x:v>Final Normalized Material</x:v>
      </x:c>
      <x:c r="K6" s="100" t="str">
        <x:v>Final Reference Process</x:v>
      </x:c>
      <x:c r="L6" s="100" t="str">
        <x:v>Final Process UUID (auto)</x:v>
      </x:c>
      <x:c r="M6" s="100" t="str">
        <x:v>Final Decision</x:v>
      </x:c>
      <x:c r="N6" s="100" t="str">
        <x:v>LLM Normalized (later)</x:v>
      </x:c>
      <x:c r="O6" s="100" t="str">
        <x:v>LLM Process (later)</x:v>
      </x:c>
      <x:c r="P6" s="100" t="str">
        <x:v>LLM Decision (later)</x:v>
      </x:c>
      <x:c r="Q6" s="99" t="str">
        <x:v>Post-review Outcome</x:v>
      </x:c>
      <x:c r="R6" s="102" t="str">
        <x:v>Notes</x:v>
      </x:c>
    </x:row>
    <x:row r="7">
      <x:c r="A7" s="38" t="str">
        <x:v>S01</x:v>
      </x:c>
      <x:c r="B7" s="38" t="str">
        <x:v>Ordinary Portland Cement (OPC 43-grade)</x:v>
      </x:c>
      <x:c r="C7" s="103" t="str">
        <x:f>IF(Expert_A!F8="","",Expert_A!F8)</x:f>
      </x:c>
      <x:c r="D7" s="103" t="str">
        <x:f>IF(Expert_A!G8="","",Expert_A!G8)</x:f>
      </x:c>
      <x:c r="E7" s="103" t="str">
        <x:f>IF(Expert_A!I8="","",Expert_A!I8)</x:f>
      </x:c>
      <x:c r="F7" s="103" t="str">
        <x:f>IF(Expert_B!F8="","",Expert_B!F8)</x:f>
      </x:c>
      <x:c r="G7" s="103" t="str">
        <x:f>IF(Expert_B!G8="","",Expert_B!G8)</x:f>
      </x:c>
      <x:c r="H7" s="103" t="str">
        <x:f>IF(Expert_B!I8="","",Expert_B!I8)</x:f>
      </x:c>
      <x:c r="I7" s="103" t="str">
        <x:f>IF(OR(C7="",F7=""),"",IF(AND(C7=F7,D7=G7,E7=H7),"AGREE","RECONCILE"))</x:f>
      </x:c>
      <x:c r="J7" s="89"/>
      <x:c r="K7" s="89"/>
      <x:c r="L7" s="91" t="str">
        <x:f>IF(K7="","",IFERROR(VLOOKUP(K7,ELCD_Catalog!$A$2:$B$609,2,FALSE),""))</x:f>
      </x:c>
      <x:c r="M7" s="89"/>
      <x:c r="N7" s="105"/>
      <x:c r="O7" s="105"/>
      <x:c r="P7" s="105"/>
      <x:c r="Q7" s="105"/>
      <x:c r="R7" s="105"/>
    </x:row>
    <x:row r="8">
      <x:c r="A8" s="38" t="str">
        <x:v>S02</x:v>
      </x:c>
      <x:c r="B8" s="38" t="str">
        <x:v>River Sand (clean, well-graded)</x:v>
      </x:c>
      <x:c r="C8" s="103" t="str">
        <x:f>IF(Expert_A!F9="","",Expert_A!F9)</x:f>
      </x:c>
      <x:c r="D8" s="103" t="str">
        <x:f>IF(Expert_A!G9="","",Expert_A!G9)</x:f>
      </x:c>
      <x:c r="E8" s="103" t="str">
        <x:f>IF(Expert_A!I9="","",Expert_A!I9)</x:f>
      </x:c>
      <x:c r="F8" s="103" t="str">
        <x:f>IF(Expert_B!F9="","",Expert_B!F9)</x:f>
      </x:c>
      <x:c r="G8" s="103" t="str">
        <x:f>IF(Expert_B!G9="","",Expert_B!G9)</x:f>
      </x:c>
      <x:c r="H8" s="103" t="str">
        <x:f>IF(Expert_B!I9="","",Expert_B!I9)</x:f>
      </x:c>
      <x:c r="I8" s="103" t="str">
        <x:f>IF(OR(C8="",F8=""),"",IF(AND(C8=F8,D8=G8,E8=H8),"AGREE","RECONCILE"))</x:f>
      </x:c>
      <x:c r="J8" s="89"/>
      <x:c r="K8" s="89"/>
      <x:c r="L8" s="91" t="str">
        <x:f>IF(K8="","",IFERROR(VLOOKUP(K8,ELCD_Catalog!$A$2:$B$609,2,FALSE),""))</x:f>
      </x:c>
      <x:c r="M8" s="89"/>
      <x:c r="N8" s="105"/>
      <x:c r="O8" s="105"/>
      <x:c r="P8" s="105"/>
      <x:c r="Q8" s="105"/>
      <x:c r="R8" s="105"/>
    </x:row>
    <x:row r="9">
      <x:c r="A9" s="38" t="str">
        <x:v>S03</x:v>
      </x:c>
      <x:c r="B9" s="38" t="str">
        <x:v>Natural Gravel</x:v>
      </x:c>
      <x:c r="C9" s="103" t="str">
        <x:f>IF(Expert_A!F10="","",Expert_A!F10)</x:f>
      </x:c>
      <x:c r="D9" s="103" t="str">
        <x:f>IF(Expert_A!G10="","",Expert_A!G10)</x:f>
      </x:c>
      <x:c r="E9" s="103" t="str">
        <x:f>IF(Expert_A!I10="","",Expert_A!I10)</x:f>
      </x:c>
      <x:c r="F9" s="103" t="str">
        <x:f>IF(Expert_B!F10="","",Expert_B!F10)</x:f>
      </x:c>
      <x:c r="G9" s="103" t="str">
        <x:f>IF(Expert_B!G10="","",Expert_B!G10)</x:f>
      </x:c>
      <x:c r="H9" s="103" t="str">
        <x:f>IF(Expert_B!I10="","",Expert_B!I10)</x:f>
      </x:c>
      <x:c r="I9" s="103" t="str">
        <x:f>IF(OR(C9="",F9=""),"",IF(AND(C9=F9,D9=G9,E9=H9),"AGREE","RECONCILE"))</x:f>
      </x:c>
      <x:c r="J9" s="89"/>
      <x:c r="K9" s="89"/>
      <x:c r="L9" s="91" t="str">
        <x:f>IF(K9="","",IFERROR(VLOOKUP(K9,ELCD_Catalog!$A$2:$B$609,2,FALSE),""))</x:f>
      </x:c>
      <x:c r="M9" s="89"/>
      <x:c r="N9" s="105"/>
      <x:c r="O9" s="105"/>
      <x:c r="P9" s="105"/>
      <x:c r="Q9" s="105"/>
      <x:c r="R9" s="105"/>
    </x:row>
    <x:row r="10">
      <x:c r="A10" s="38" t="str">
        <x:v>S04</x:v>
      </x:c>
      <x:c r="B10" s="38" t="str">
        <x:v>Stone</x:v>
      </x:c>
      <x:c r="C10" s="103" t="str">
        <x:f>IF(Expert_A!F11="","",Expert_A!F11)</x:f>
      </x:c>
      <x:c r="D10" s="103" t="str">
        <x:f>IF(Expert_A!G11="","",Expert_A!G11)</x:f>
      </x:c>
      <x:c r="E10" s="103" t="str">
        <x:f>IF(Expert_A!I11="","",Expert_A!I11)</x:f>
      </x:c>
      <x:c r="F10" s="103" t="str">
        <x:f>IF(Expert_B!F11="","",Expert_B!F11)</x:f>
      </x:c>
      <x:c r="G10" s="103" t="str">
        <x:f>IF(Expert_B!G11="","",Expert_B!G11)</x:f>
      </x:c>
      <x:c r="H10" s="103" t="str">
        <x:f>IF(Expert_B!I11="","",Expert_B!I11)</x:f>
      </x:c>
      <x:c r="I10" s="103" t="str">
        <x:f>IF(OR(C10="",F10=""),"",IF(AND(C10=F10,D10=G10,E10=H10),"AGREE","RECONCILE"))</x:f>
      </x:c>
      <x:c r="J10" s="89"/>
      <x:c r="K10" s="89"/>
      <x:c r="L10" s="91" t="str">
        <x:f>IF(K10="","",IFERROR(VLOOKUP(K10,ELCD_Catalog!$A$2:$B$609,2,FALSE),""))</x:f>
      </x:c>
      <x:c r="M10" s="89"/>
      <x:c r="N10" s="105"/>
      <x:c r="O10" s="105"/>
      <x:c r="P10" s="105"/>
      <x:c r="Q10" s="105"/>
      <x:c r="R10" s="105"/>
    </x:row>
    <x:row r="11">
      <x:c r="A11" s="38" t="str">
        <x:v>S05</x:v>
      </x:c>
      <x:c r="B11" s="38" t="str">
        <x:v>Plain Cement Concrete (PCC M10 — 1:3:6) - Binding Layer</x:v>
      </x:c>
      <x:c r="C11" s="103" t="str">
        <x:f>IF(Expert_A!F12="","",Expert_A!F12)</x:f>
      </x:c>
      <x:c r="D11" s="103" t="str">
        <x:f>IF(Expert_A!G12="","",Expert_A!G12)</x:f>
      </x:c>
      <x:c r="E11" s="103" t="str">
        <x:f>IF(Expert_A!I12="","",Expert_A!I12)</x:f>
      </x:c>
      <x:c r="F11" s="103" t="str">
        <x:f>IF(Expert_B!F12="","",Expert_B!F12)</x:f>
      </x:c>
      <x:c r="G11" s="103" t="str">
        <x:f>IF(Expert_B!G12="","",Expert_B!G12)</x:f>
      </x:c>
      <x:c r="H11" s="103" t="str">
        <x:f>IF(Expert_B!I12="","",Expert_B!I12)</x:f>
      </x:c>
      <x:c r="I11" s="103" t="str">
        <x:f>IF(OR(C11="",F11=""),"",IF(AND(C11=F11,D11=G11,E11=H11),"AGREE","RECONCILE"))</x:f>
      </x:c>
      <x:c r="J11" s="89"/>
      <x:c r="K11" s="89"/>
      <x:c r="L11" s="91" t="str">
        <x:f>IF(K11="","",IFERROR(VLOOKUP(K11,ELCD_Catalog!$A$2:$B$609,2,FALSE),""))</x:f>
      </x:c>
      <x:c r="M11" s="89"/>
      <x:c r="N11" s="105"/>
      <x:c r="O11" s="105"/>
      <x:c r="P11" s="105"/>
      <x:c r="Q11" s="105"/>
      <x:c r="R11" s="105"/>
    </x:row>
    <x:row r="12">
      <x:c r="A12" s="38" t="str">
        <x:v>S06</x:v>
      </x:c>
      <x:c r="B12" s="38" t="str">
        <x:v>Stonecrete block</x:v>
      </x:c>
      <x:c r="C12" s="103" t="str">
        <x:f>IF(Expert_A!F13="","",Expert_A!F13)</x:f>
      </x:c>
      <x:c r="D12" s="103" t="str">
        <x:f>IF(Expert_A!G13="","",Expert_A!G13)</x:f>
      </x:c>
      <x:c r="E12" s="103" t="str">
        <x:f>IF(Expert_A!I13="","",Expert_A!I13)</x:f>
      </x:c>
      <x:c r="F12" s="103" t="str">
        <x:f>IF(Expert_B!F13="","",Expert_B!F13)</x:f>
      </x:c>
      <x:c r="G12" s="103" t="str">
        <x:f>IF(Expert_B!G13="","",Expert_B!G13)</x:f>
      </x:c>
      <x:c r="H12" s="103" t="str">
        <x:f>IF(Expert_B!I13="","",Expert_B!I13)</x:f>
      </x:c>
      <x:c r="I12" s="103" t="str">
        <x:f>IF(OR(C12="",F12=""),"",IF(AND(C12=F12,D12=G12,E12=H12),"AGREE","RECONCILE"))</x:f>
      </x:c>
      <x:c r="J12" s="89"/>
      <x:c r="K12" s="89"/>
      <x:c r="L12" s="91" t="str">
        <x:f>IF(K12="","",IFERROR(VLOOKUP(K12,ELCD_Catalog!$A$2:$B$609,2,FALSE),""))</x:f>
      </x:c>
      <x:c r="M12" s="89"/>
      <x:c r="N12" s="105"/>
      <x:c r="O12" s="105"/>
      <x:c r="P12" s="105"/>
      <x:c r="Q12" s="105"/>
      <x:c r="R12" s="105"/>
    </x:row>
    <x:row r="13">
      <x:c r="A13" s="38" t="str">
        <x:v>S07</x:v>
      </x:c>
      <x:c r="B13" s="38" t="str">
        <x:v>Rebar TMT Fe500</x:v>
      </x:c>
      <x:c r="C13" s="103" t="str">
        <x:f>IF(Expert_A!F14="","",Expert_A!F14)</x:f>
      </x:c>
      <x:c r="D13" s="103" t="str">
        <x:f>IF(Expert_A!G14="","",Expert_A!G14)</x:f>
      </x:c>
      <x:c r="E13" s="103" t="str">
        <x:f>IF(Expert_A!I14="","",Expert_A!I14)</x:f>
      </x:c>
      <x:c r="F13" s="103" t="str">
        <x:f>IF(Expert_B!F14="","",Expert_B!F14)</x:f>
      </x:c>
      <x:c r="G13" s="103" t="str">
        <x:f>IF(Expert_B!G14="","",Expert_B!G14)</x:f>
      </x:c>
      <x:c r="H13" s="103" t="str">
        <x:f>IF(Expert_B!I14="","",Expert_B!I14)</x:f>
      </x:c>
      <x:c r="I13" s="103" t="str">
        <x:f>IF(OR(C13="",F13=""),"",IF(AND(C13=F13,D13=G13,E13=H13),"AGREE","RECONCILE"))</x:f>
      </x:c>
      <x:c r="J13" s="89"/>
      <x:c r="K13" s="89"/>
      <x:c r="L13" s="91" t="str">
        <x:f>IF(K13="","",IFERROR(VLOOKUP(K13,ELCD_Catalog!$A$2:$B$609,2,FALSE),""))</x:f>
      </x:c>
      <x:c r="M13" s="89"/>
      <x:c r="N13" s="105"/>
      <x:c r="O13" s="105"/>
      <x:c r="P13" s="105"/>
      <x:c r="Q13" s="105"/>
      <x:c r="R13" s="105"/>
    </x:row>
    <x:row r="14">
      <x:c r="A14" s="38" t="str">
        <x:v>S08</x:v>
      </x:c>
      <x:c r="B14" s="38" t="str">
        <x:v>Binding Wire (soft annealed, 18-gauge)</x:v>
      </x:c>
      <x:c r="C14" s="103" t="str">
        <x:f>IF(Expert_A!F15="","",Expert_A!F15)</x:f>
      </x:c>
      <x:c r="D14" s="103" t="str">
        <x:f>IF(Expert_A!G15="","",Expert_A!G15)</x:f>
      </x:c>
      <x:c r="E14" s="103" t="str">
        <x:f>IF(Expert_A!I15="","",Expert_A!I15)</x:f>
      </x:c>
      <x:c r="F14" s="103" t="str">
        <x:f>IF(Expert_B!F15="","",Expert_B!F15)</x:f>
      </x:c>
      <x:c r="G14" s="103" t="str">
        <x:f>IF(Expert_B!G15="","",Expert_B!G15)</x:f>
      </x:c>
      <x:c r="H14" s="103" t="str">
        <x:f>IF(Expert_B!I15="","",Expert_B!I15)</x:f>
      </x:c>
      <x:c r="I14" s="103" t="str">
        <x:f>IF(OR(C14="",F14=""),"",IF(AND(C14=F14,D14=G14,E14=H14),"AGREE","RECONCILE"))</x:f>
      </x:c>
      <x:c r="J14" s="89"/>
      <x:c r="K14" s="89"/>
      <x:c r="L14" s="91" t="str">
        <x:f>IF(K14="","",IFERROR(VLOOKUP(K14,ELCD_Catalog!$A$2:$B$609,2,FALSE),""))</x:f>
      </x:c>
      <x:c r="M14" s="89"/>
      <x:c r="N14" s="105"/>
      <x:c r="O14" s="105"/>
      <x:c r="P14" s="105"/>
      <x:c r="Q14" s="105"/>
      <x:c r="R14" s="105"/>
    </x:row>
    <x:row r="15">
      <x:c r="A15" s="38" t="str">
        <x:v>S09</x:v>
      </x:c>
      <x:c r="B15" s="38" t="str">
        <x:v>Corrugated Galvanized Iron (CGI) Sheet, 0.45 mm BMT</x:v>
      </x:c>
      <x:c r="C15" s="103" t="str">
        <x:f>IF(Expert_A!F16="","",Expert_A!F16)</x:f>
      </x:c>
      <x:c r="D15" s="103" t="str">
        <x:f>IF(Expert_A!G16="","",Expert_A!G16)</x:f>
      </x:c>
      <x:c r="E15" s="103" t="str">
        <x:f>IF(Expert_A!I16="","",Expert_A!I16)</x:f>
      </x:c>
      <x:c r="F15" s="103" t="str">
        <x:f>IF(Expert_B!F16="","",Expert_B!F16)</x:f>
      </x:c>
      <x:c r="G15" s="103" t="str">
        <x:f>IF(Expert_B!G16="","",Expert_B!G16)</x:f>
      </x:c>
      <x:c r="H15" s="103" t="str">
        <x:f>IF(Expert_B!I16="","",Expert_B!I16)</x:f>
      </x:c>
      <x:c r="I15" s="103" t="str">
        <x:f>IF(OR(C15="",F15=""),"",IF(AND(C15=F15,D15=G15,E15=H15),"AGREE","RECONCILE"))</x:f>
      </x:c>
      <x:c r="J15" s="89"/>
      <x:c r="K15" s="89"/>
      <x:c r="L15" s="91" t="str">
        <x:f>IF(K15="","",IFERROR(VLOOKUP(K15,ELCD_Catalog!$A$2:$B$609,2,FALSE),""))</x:f>
      </x:c>
      <x:c r="M15" s="89"/>
      <x:c r="N15" s="105"/>
      <x:c r="O15" s="105"/>
      <x:c r="P15" s="105"/>
      <x:c r="Q15" s="105"/>
      <x:c r="R15" s="105"/>
    </x:row>
    <x:row r="16">
      <x:c r="A16" s="38" t="str">
        <x:v>S10</x:v>
      </x:c>
      <x:c r="B16" s="38" t="str">
        <x:v>Timber for purlin, rafter, and column post</x:v>
      </x:c>
      <x:c r="C16" s="103" t="str">
        <x:f>IF(Expert_A!F17="","",Expert_A!F17)</x:f>
      </x:c>
      <x:c r="D16" s="103" t="str">
        <x:f>IF(Expert_A!G17="","",Expert_A!G17)</x:f>
      </x:c>
      <x:c r="E16" s="103" t="str">
        <x:f>IF(Expert_A!I17="","",Expert_A!I17)</x:f>
      </x:c>
      <x:c r="F16" s="103" t="str">
        <x:f>IF(Expert_B!F17="","",Expert_B!F17)</x:f>
      </x:c>
      <x:c r="G16" s="103" t="str">
        <x:f>IF(Expert_B!G17="","",Expert_B!G17)</x:f>
      </x:c>
      <x:c r="H16" s="103" t="str">
        <x:f>IF(Expert_B!I17="","",Expert_B!I17)</x:f>
      </x:c>
      <x:c r="I16" s="103" t="str">
        <x:f>IF(OR(C16="",F16=""),"",IF(AND(C16=F16,D16=G16,E16=H16),"AGREE","RECONCILE"))</x:f>
      </x:c>
      <x:c r="J16" s="89"/>
      <x:c r="K16" s="89"/>
      <x:c r="L16" s="91" t="str">
        <x:f>IF(K16="","",IFERROR(VLOOKUP(K16,ELCD_Catalog!$A$2:$B$609,2,FALSE),""))</x:f>
      </x:c>
      <x:c r="M16" s="89"/>
      <x:c r="N16" s="105"/>
      <x:c r="O16" s="105"/>
      <x:c r="P16" s="105"/>
      <x:c r="Q16" s="105"/>
      <x:c r="R16" s="105"/>
    </x:row>
    <x:row r="17">
      <x:c r="A17" s="38" t="str">
        <x:v>S11</x:v>
      </x:c>
      <x:c r="B17" s="38" t="str">
        <x:v>Plaster 1:4 — External Walls, 15 mm thick</x:v>
      </x:c>
      <x:c r="C17" s="103" t="str">
        <x:f>IF(Expert_A!F18="","",Expert_A!F18)</x:f>
      </x:c>
      <x:c r="D17" s="103" t="str">
        <x:f>IF(Expert_A!G18="","",Expert_A!G18)</x:f>
      </x:c>
      <x:c r="E17" s="103" t="str">
        <x:f>IF(Expert_A!I18="","",Expert_A!I18)</x:f>
      </x:c>
      <x:c r="F17" s="103" t="str">
        <x:f>IF(Expert_B!F18="","",Expert_B!F18)</x:f>
      </x:c>
      <x:c r="G17" s="103" t="str">
        <x:f>IF(Expert_B!G18="","",Expert_B!G18)</x:f>
      </x:c>
      <x:c r="H17" s="103" t="str">
        <x:f>IF(Expert_B!I18="","",Expert_B!I18)</x:f>
      </x:c>
      <x:c r="I17" s="103" t="str">
        <x:f>IF(OR(C17="",F17=""),"",IF(AND(C17=F17,D17=G17,E17=H17),"AGREE","RECONCILE"))</x:f>
      </x:c>
      <x:c r="J17" s="89"/>
      <x:c r="K17" s="89"/>
      <x:c r="L17" s="91" t="str">
        <x:f>IF(K17="","",IFERROR(VLOOKUP(K17,ELCD_Catalog!$A$2:$B$609,2,FALSE),""))</x:f>
      </x:c>
      <x:c r="M17" s="89"/>
      <x:c r="N17" s="105"/>
      <x:c r="O17" s="105"/>
      <x:c r="P17" s="105"/>
      <x:c r="Q17" s="105"/>
      <x:c r="R17" s="105"/>
    </x:row>
    <x:row r="18">
      <x:c r="A18" s="38" t="str">
        <x:v>S12</x:v>
      </x:c>
      <x:c r="B18" s="38" t="str">
        <x:v>Plaster 1:6 — Internal Walls, 12 mm thick</x:v>
      </x:c>
      <x:c r="C18" s="103" t="str">
        <x:f>IF(Expert_A!F19="","",Expert_A!F19)</x:f>
      </x:c>
      <x:c r="D18" s="103" t="str">
        <x:f>IF(Expert_A!G19="","",Expert_A!G19)</x:f>
      </x:c>
      <x:c r="E18" s="103" t="str">
        <x:f>IF(Expert_A!I19="","",Expert_A!I19)</x:f>
      </x:c>
      <x:c r="F18" s="103" t="str">
        <x:f>IF(Expert_B!F19="","",Expert_B!F19)</x:f>
      </x:c>
      <x:c r="G18" s="103" t="str">
        <x:f>IF(Expert_B!G19="","",Expert_B!G19)</x:f>
      </x:c>
      <x:c r="H18" s="103" t="str">
        <x:f>IF(Expert_B!I19="","",Expert_B!I19)</x:f>
      </x:c>
      <x:c r="I18" s="103" t="str">
        <x:f>IF(OR(C18="",F18=""),"",IF(AND(C18=F18,D18=G18,E18=H18),"AGREE","RECONCILE"))</x:f>
      </x:c>
      <x:c r="J18" s="89"/>
      <x:c r="K18" s="89"/>
      <x:c r="L18" s="91" t="str">
        <x:f>IF(K18="","",IFERROR(VLOOKUP(K18,ELCD_Catalog!$A$2:$B$609,2,FALSE),""))</x:f>
      </x:c>
      <x:c r="M18" s="89"/>
      <x:c r="N18" s="105"/>
      <x:c r="O18" s="105"/>
      <x:c r="P18" s="105"/>
      <x:c r="Q18" s="105"/>
      <x:c r="R18" s="105"/>
    </x:row>
    <x:row r="19">
      <x:c r="A19" s="38" t="str">
        <x:v>B01</x:v>
      </x:c>
      <x:c r="B19" s="38" t="str">
        <x:v>Cement</x:v>
      </x:c>
      <x:c r="C19" s="103" t="str">
        <x:f>IF(Expert_A!F20="","",Expert_A!F20)</x:f>
      </x:c>
      <x:c r="D19" s="103" t="str">
        <x:f>IF(Expert_A!G20="","",Expert_A!G20)</x:f>
      </x:c>
      <x:c r="E19" s="103" t="str">
        <x:f>IF(Expert_A!I20="","",Expert_A!I20)</x:f>
      </x:c>
      <x:c r="F19" s="103" t="str">
        <x:f>IF(Expert_B!F20="","",Expert_B!F20)</x:f>
      </x:c>
      <x:c r="G19" s="103" t="str">
        <x:f>IF(Expert_B!G20="","",Expert_B!G20)</x:f>
      </x:c>
      <x:c r="H19" s="103" t="str">
        <x:f>IF(Expert_B!I20="","",Expert_B!I20)</x:f>
      </x:c>
      <x:c r="I19" s="103" t="str">
        <x:f>IF(OR(C19="",F19=""),"",IF(AND(C19=F19,D19=G19,E19=H19),"AGREE","RECONCILE"))</x:f>
      </x:c>
      <x:c r="J19" s="89"/>
      <x:c r="K19" s="89"/>
      <x:c r="L19" s="91" t="str">
        <x:f>IF(K19="","",IFERROR(VLOOKUP(K19,ELCD_Catalog!$A$2:$B$609,2,FALSE),""))</x:f>
      </x:c>
      <x:c r="M19" s="89"/>
      <x:c r="N19" s="105"/>
      <x:c r="O19" s="105"/>
      <x:c r="P19" s="105"/>
      <x:c r="Q19" s="105"/>
      <x:c r="R19" s="105"/>
    </x:row>
    <x:row r="20">
      <x:c r="A20" s="38" t="str">
        <x:v>B02</x:v>
      </x:c>
      <x:c r="B20" s="38" t="str">
        <x:v>Sand</x:v>
      </x:c>
      <x:c r="C20" s="103" t="str">
        <x:f>IF(Expert_A!F21="","",Expert_A!F21)</x:f>
      </x:c>
      <x:c r="D20" s="103" t="str">
        <x:f>IF(Expert_A!G21="","",Expert_A!G21)</x:f>
      </x:c>
      <x:c r="E20" s="103" t="str">
        <x:f>IF(Expert_A!I21="","",Expert_A!I21)</x:f>
      </x:c>
      <x:c r="F20" s="103" t="str">
        <x:f>IF(Expert_B!F21="","",Expert_B!F21)</x:f>
      </x:c>
      <x:c r="G20" s="103" t="str">
        <x:f>IF(Expert_B!G21="","",Expert_B!G21)</x:f>
      </x:c>
      <x:c r="H20" s="103" t="str">
        <x:f>IF(Expert_B!I21="","",Expert_B!I21)</x:f>
      </x:c>
      <x:c r="I20" s="103" t="str">
        <x:f>IF(OR(C20="",F20=""),"",IF(AND(C20=F20,D20=G20,E20=H20),"AGREE","RECONCILE"))</x:f>
      </x:c>
      <x:c r="J20" s="89"/>
      <x:c r="K20" s="89"/>
      <x:c r="L20" s="91" t="str">
        <x:f>IF(K20="","",IFERROR(VLOOKUP(K20,ELCD_Catalog!$A$2:$B$609,2,FALSE),""))</x:f>
      </x:c>
      <x:c r="M20" s="89"/>
      <x:c r="N20" s="105"/>
      <x:c r="O20" s="105"/>
      <x:c r="P20" s="105"/>
      <x:c r="Q20" s="105"/>
      <x:c r="R20" s="105"/>
    </x:row>
    <x:row r="21">
      <x:c r="A21" s="38" t="str">
        <x:v>B03</x:v>
      </x:c>
      <x:c r="B21" s="38" t="str">
        <x:v>Natural Gravel</x:v>
      </x:c>
      <x:c r="C21" s="103" t="str">
        <x:f>IF(Expert_A!F22="","",Expert_A!F22)</x:f>
      </x:c>
      <x:c r="D21" s="103" t="str">
        <x:f>IF(Expert_A!G22="","",Expert_A!G22)</x:f>
      </x:c>
      <x:c r="E21" s="103" t="str">
        <x:f>IF(Expert_A!I22="","",Expert_A!I22)</x:f>
      </x:c>
      <x:c r="F21" s="103" t="str">
        <x:f>IF(Expert_B!F22="","",Expert_B!F22)</x:f>
      </x:c>
      <x:c r="G21" s="103" t="str">
        <x:f>IF(Expert_B!G22="","",Expert_B!G22)</x:f>
      </x:c>
      <x:c r="H21" s="103" t="str">
        <x:f>IF(Expert_B!I22="","",Expert_B!I22)</x:f>
      </x:c>
      <x:c r="I21" s="103" t="str">
        <x:f>IF(OR(C21="",F21=""),"",IF(AND(C21=F21,D21=G21,E21=H21),"AGREE","RECONCILE"))</x:f>
      </x:c>
      <x:c r="J21" s="89"/>
      <x:c r="K21" s="89"/>
      <x:c r="L21" s="91" t="str">
        <x:f>IF(K21="","",IFERROR(VLOOKUP(K21,ELCD_Catalog!$A$2:$B$609,2,FALSE),""))</x:f>
      </x:c>
      <x:c r="M21" s="89"/>
      <x:c r="N21" s="105"/>
      <x:c r="O21" s="105"/>
      <x:c r="P21" s="105"/>
      <x:c r="Q21" s="105"/>
      <x:c r="R21" s="105"/>
    </x:row>
    <x:row r="22">
      <x:c r="A22" s="38" t="str">
        <x:v>B04</x:v>
      </x:c>
      <x:c r="B22" s="38" t="str">
        <x:v>Stone</x:v>
      </x:c>
      <x:c r="C22" s="103" t="str">
        <x:f>IF(Expert_A!F23="","",Expert_A!F23)</x:f>
      </x:c>
      <x:c r="D22" s="103" t="str">
        <x:f>IF(Expert_A!G23="","",Expert_A!G23)</x:f>
      </x:c>
      <x:c r="E22" s="103" t="str">
        <x:f>IF(Expert_A!I23="","",Expert_A!I23)</x:f>
      </x:c>
      <x:c r="F22" s="103" t="str">
        <x:f>IF(Expert_B!F23="","",Expert_B!F23)</x:f>
      </x:c>
      <x:c r="G22" s="103" t="str">
        <x:f>IF(Expert_B!G23="","",Expert_B!G23)</x:f>
      </x:c>
      <x:c r="H22" s="103" t="str">
        <x:f>IF(Expert_B!I23="","",Expert_B!I23)</x:f>
      </x:c>
      <x:c r="I22" s="103" t="str">
        <x:f>IF(OR(C22="",F22=""),"",IF(AND(C22=F22,D22=G22,E22=H22),"AGREE","RECONCILE"))</x:f>
      </x:c>
      <x:c r="J22" s="89"/>
      <x:c r="K22" s="89"/>
      <x:c r="L22" s="91" t="str">
        <x:f>IF(K22="","",IFERROR(VLOOKUP(K22,ELCD_Catalog!$A$2:$B$609,2,FALSE),""))</x:f>
      </x:c>
      <x:c r="M22" s="89"/>
      <x:c r="N22" s="105"/>
      <x:c r="O22" s="105"/>
      <x:c r="P22" s="105"/>
      <x:c r="Q22" s="105"/>
      <x:c r="R22" s="105"/>
    </x:row>
    <x:row r="23">
      <x:c r="A23" s="38" t="str">
        <x:v>B05</x:v>
      </x:c>
      <x:c r="B23" s="38" t="str">
        <x:v>Soil</x:v>
      </x:c>
      <x:c r="C23" s="103" t="str">
        <x:f>IF(Expert_A!F24="","",Expert_A!F24)</x:f>
      </x:c>
      <x:c r="D23" s="103" t="str">
        <x:f>IF(Expert_A!G24="","",Expert_A!G24)</x:f>
      </x:c>
      <x:c r="E23" s="103" t="str">
        <x:f>IF(Expert_A!I24="","",Expert_A!I24)</x:f>
      </x:c>
      <x:c r="F23" s="103" t="str">
        <x:f>IF(Expert_B!F24="","",Expert_B!F24)</x:f>
      </x:c>
      <x:c r="G23" s="103" t="str">
        <x:f>IF(Expert_B!G24="","",Expert_B!G24)</x:f>
      </x:c>
      <x:c r="H23" s="103" t="str">
        <x:f>IF(Expert_B!I24="","",Expert_B!I24)</x:f>
      </x:c>
      <x:c r="I23" s="103" t="str">
        <x:f>IF(OR(C23="",F23=""),"",IF(AND(C23=F23,D23=G23,E23=H23),"AGREE","RECONCILE"))</x:f>
      </x:c>
      <x:c r="J23" s="89"/>
      <x:c r="K23" s="89"/>
      <x:c r="L23" s="91" t="str">
        <x:f>IF(K23="","",IFERROR(VLOOKUP(K23,ELCD_Catalog!$A$2:$B$609,2,FALSE),""))</x:f>
      </x:c>
      <x:c r="M23" s="89"/>
      <x:c r="N23" s="105"/>
      <x:c r="O23" s="105"/>
      <x:c r="P23" s="105"/>
      <x:c r="Q23" s="105"/>
      <x:c r="R23" s="105"/>
    </x:row>
    <x:row r="24">
      <x:c r="A24" s="38" t="str">
        <x:v>B06</x:v>
      </x:c>
      <x:c r="B24" s="38" t="str">
        <x:v>Local Wood</x:v>
      </x:c>
      <x:c r="C24" s="103" t="str">
        <x:f>IF(Expert_A!F25="","",Expert_A!F25)</x:f>
      </x:c>
      <x:c r="D24" s="103" t="str">
        <x:f>IF(Expert_A!G25="","",Expert_A!G25)</x:f>
      </x:c>
      <x:c r="E24" s="103" t="str">
        <x:f>IF(Expert_A!I25="","",Expert_A!I25)</x:f>
      </x:c>
      <x:c r="F24" s="103" t="str">
        <x:f>IF(Expert_B!F25="","",Expert_B!F25)</x:f>
      </x:c>
      <x:c r="G24" s="103" t="str">
        <x:f>IF(Expert_B!G25="","",Expert_B!G25)</x:f>
      </x:c>
      <x:c r="H24" s="103" t="str">
        <x:f>IF(Expert_B!I25="","",Expert_B!I25)</x:f>
      </x:c>
      <x:c r="I24" s="103" t="str">
        <x:f>IF(OR(C24="",F24=""),"",IF(AND(C24=F24,D24=G24,E24=H24),"AGREE","RECONCILE"))</x:f>
      </x:c>
      <x:c r="J24" s="89"/>
      <x:c r="K24" s="89"/>
      <x:c r="L24" s="91" t="str">
        <x:f>IF(K24="","",IFERROR(VLOOKUP(K24,ELCD_Catalog!$A$2:$B$609,2,FALSE),""))</x:f>
      </x:c>
      <x:c r="M24" s="89"/>
      <x:c r="N24" s="105"/>
      <x:c r="O24" s="105"/>
      <x:c r="P24" s="105"/>
      <x:c r="Q24" s="105"/>
      <x:c r="R24" s="105"/>
    </x:row>
    <x:row r="25">
      <x:c r="A25" s="38" t="str">
        <x:v>B07</x:v>
      </x:c>
      <x:c r="B25" s="38" t="str">
        <x:v>19mm Plywood</x:v>
      </x:c>
      <x:c r="C25" s="103" t="str">
        <x:f>IF(Expert_A!F26="","",Expert_A!F26)</x:f>
      </x:c>
      <x:c r="D25" s="103" t="str">
        <x:f>IF(Expert_A!G26="","",Expert_A!G26)</x:f>
      </x:c>
      <x:c r="E25" s="103" t="str">
        <x:f>IF(Expert_A!I26="","",Expert_A!I26)</x:f>
      </x:c>
      <x:c r="F25" s="103" t="str">
        <x:f>IF(Expert_B!F26="","",Expert_B!F26)</x:f>
      </x:c>
      <x:c r="G25" s="103" t="str">
        <x:f>IF(Expert_B!G26="","",Expert_B!G26)</x:f>
      </x:c>
      <x:c r="H25" s="103" t="str">
        <x:f>IF(Expert_B!I26="","",Expert_B!I26)</x:f>
      </x:c>
      <x:c r="I25" s="103" t="str">
        <x:f>IF(OR(C25="",F25=""),"",IF(AND(C25=F25,D25=G25,E25=H25),"AGREE","RECONCILE"))</x:f>
      </x:c>
      <x:c r="J25" s="89"/>
      <x:c r="K25" s="89"/>
      <x:c r="L25" s="91" t="str">
        <x:f>IF(K25="","",IFERROR(VLOOKUP(K25,ELCD_Catalog!$A$2:$B$609,2,FALSE),""))</x:f>
      </x:c>
      <x:c r="M25" s="89"/>
      <x:c r="N25" s="105"/>
      <x:c r="O25" s="105"/>
      <x:c r="P25" s="105"/>
      <x:c r="Q25" s="105"/>
      <x:c r="R25" s="105"/>
    </x:row>
    <x:row r="26">
      <x:c r="A26" s="38" t="str">
        <x:v>B08</x:v>
      </x:c>
      <x:c r="B26" s="38" t="str">
        <x:v>Nail</x:v>
      </x:c>
      <x:c r="C26" s="103" t="str">
        <x:f>IF(Expert_A!F27="","",Expert_A!F27)</x:f>
      </x:c>
      <x:c r="D26" s="103" t="str">
        <x:f>IF(Expert_A!G27="","",Expert_A!G27)</x:f>
      </x:c>
      <x:c r="E26" s="103" t="str">
        <x:f>IF(Expert_A!I27="","",Expert_A!I27)</x:f>
      </x:c>
      <x:c r="F26" s="103" t="str">
        <x:f>IF(Expert_B!F27="","",Expert_B!F27)</x:f>
      </x:c>
      <x:c r="G26" s="103" t="str">
        <x:f>IF(Expert_B!G27="","",Expert_B!G27)</x:f>
      </x:c>
      <x:c r="H26" s="103" t="str">
        <x:f>IF(Expert_B!I27="","",Expert_B!I27)</x:f>
      </x:c>
      <x:c r="I26" s="103" t="str">
        <x:f>IF(OR(C26="",F26=""),"",IF(AND(C26=F26,D26=G26,E26=H26),"AGREE","RECONCILE"))</x:f>
      </x:c>
      <x:c r="J26" s="89"/>
      <x:c r="K26" s="89"/>
      <x:c r="L26" s="91" t="str">
        <x:f>IF(K26="","",IFERROR(VLOOKUP(K26,ELCD_Catalog!$A$2:$B$609,2,FALSE),""))</x:f>
      </x:c>
      <x:c r="M26" s="89"/>
      <x:c r="N26" s="105"/>
      <x:c r="O26" s="105"/>
      <x:c r="P26" s="105"/>
      <x:c r="Q26" s="105"/>
      <x:c r="R26" s="105"/>
    </x:row>
    <x:row r="27">
      <x:c r="A27" s="38" t="str">
        <x:v>B09</x:v>
      </x:c>
      <x:c r="B27" s="38" t="str">
        <x:v>10mm Rebar</x:v>
      </x:c>
      <x:c r="C27" s="103" t="str">
        <x:f>IF(Expert_A!F28="","",Expert_A!F28)</x:f>
      </x:c>
      <x:c r="D27" s="103" t="str">
        <x:f>IF(Expert_A!G28="","",Expert_A!G28)</x:f>
      </x:c>
      <x:c r="E27" s="103" t="str">
        <x:f>IF(Expert_A!I28="","",Expert_A!I28)</x:f>
      </x:c>
      <x:c r="F27" s="103" t="str">
        <x:f>IF(Expert_B!F28="","",Expert_B!F28)</x:f>
      </x:c>
      <x:c r="G27" s="103" t="str">
        <x:f>IF(Expert_B!G28="","",Expert_B!G28)</x:f>
      </x:c>
      <x:c r="H27" s="103" t="str">
        <x:f>IF(Expert_B!I28="","",Expert_B!I28)</x:f>
      </x:c>
      <x:c r="I27" s="103" t="str">
        <x:f>IF(OR(C27="",F27=""),"",IF(AND(C27=F27,D27=G27,E27=H27),"AGREE","RECONCILE"))</x:f>
      </x:c>
      <x:c r="J27" s="89"/>
      <x:c r="K27" s="89"/>
      <x:c r="L27" s="91" t="str">
        <x:f>IF(K27="","",IFERROR(VLOOKUP(K27,ELCD_Catalog!$A$2:$B$609,2,FALSE),""))</x:f>
      </x:c>
      <x:c r="M27" s="89"/>
      <x:c r="N27" s="105"/>
      <x:c r="O27" s="105"/>
      <x:c r="P27" s="105"/>
      <x:c r="Q27" s="105"/>
      <x:c r="R27" s="105"/>
    </x:row>
    <x:row r="28">
      <x:c r="A28" s="38" t="str">
        <x:v>B10</x:v>
      </x:c>
      <x:c r="B28" s="38" t="str">
        <x:v>7mm Rebar</x:v>
      </x:c>
      <x:c r="C28" s="103" t="str">
        <x:f>IF(Expert_A!F29="","",Expert_A!F29)</x:f>
      </x:c>
      <x:c r="D28" s="103" t="str">
        <x:f>IF(Expert_A!G29="","",Expert_A!G29)</x:f>
      </x:c>
      <x:c r="E28" s="103" t="str">
        <x:f>IF(Expert_A!I29="","",Expert_A!I29)</x:f>
      </x:c>
      <x:c r="F28" s="103" t="str">
        <x:f>IF(Expert_B!F29="","",Expert_B!F29)</x:f>
      </x:c>
      <x:c r="G28" s="103" t="str">
        <x:f>IF(Expert_B!G29="","",Expert_B!G29)</x:f>
      </x:c>
      <x:c r="H28" s="103" t="str">
        <x:f>IF(Expert_B!I29="","",Expert_B!I29)</x:f>
      </x:c>
      <x:c r="I28" s="103" t="str">
        <x:f>IF(OR(C28="",F28=""),"",IF(AND(C28=F28,D28=G28,E28=H28),"AGREE","RECONCILE"))</x:f>
      </x:c>
      <x:c r="J28" s="89"/>
      <x:c r="K28" s="89"/>
      <x:c r="L28" s="91" t="str">
        <x:f>IF(K28="","",IFERROR(VLOOKUP(K28,ELCD_Catalog!$A$2:$B$609,2,FALSE),""))</x:f>
      </x:c>
      <x:c r="M28" s="89"/>
      <x:c r="N28" s="105"/>
      <x:c r="O28" s="105"/>
      <x:c r="P28" s="105"/>
      <x:c r="Q28" s="105"/>
      <x:c r="R28" s="105"/>
    </x:row>
    <x:row r="29">
      <x:c r="A29" s="38" t="str">
        <x:v>B11</x:v>
      </x:c>
      <x:c r="B29" s="38" t="str">
        <x:v>Binding Wire</x:v>
      </x:c>
      <x:c r="C29" s="103" t="str">
        <x:f>IF(Expert_A!F30="","",Expert_A!F30)</x:f>
      </x:c>
      <x:c r="D29" s="103" t="str">
        <x:f>IF(Expert_A!G30="","",Expert_A!G30)</x:f>
      </x:c>
      <x:c r="E29" s="103" t="str">
        <x:f>IF(Expert_A!I30="","",Expert_A!I30)</x:f>
      </x:c>
      <x:c r="F29" s="103" t="str">
        <x:f>IF(Expert_B!F30="","",Expert_B!F30)</x:f>
      </x:c>
      <x:c r="G29" s="103" t="str">
        <x:f>IF(Expert_B!G30="","",Expert_B!G30)</x:f>
      </x:c>
      <x:c r="H29" s="103" t="str">
        <x:f>IF(Expert_B!I30="","",Expert_B!I30)</x:f>
      </x:c>
      <x:c r="I29" s="103" t="str">
        <x:f>IF(OR(C29="",F29=""),"",IF(AND(C29=F29,D29=G29,E29=H29),"AGREE","RECONCILE"))</x:f>
      </x:c>
      <x:c r="J29" s="89"/>
      <x:c r="K29" s="89"/>
      <x:c r="L29" s="91" t="str">
        <x:f>IF(K29="","",IFERROR(VLOOKUP(K29,ELCD_Catalog!$A$2:$B$609,2,FALSE),""))</x:f>
      </x:c>
      <x:c r="M29" s="89"/>
      <x:c r="N29" s="105"/>
      <x:c r="O29" s="105"/>
      <x:c r="P29" s="105"/>
      <x:c r="Q29" s="105"/>
      <x:c r="R29" s="105"/>
    </x:row>
    <x:row r="30">
      <x:c r="A30" s="38" t="str">
        <x:v>B12</x:v>
      </x:c>
      <x:c r="B30" s="38" t="str">
        <x:v>24 Gauge CGI Sheets</x:v>
      </x:c>
      <x:c r="C30" s="103" t="str">
        <x:f>IF(Expert_A!F31="","",Expert_A!F31)</x:f>
      </x:c>
      <x:c r="D30" s="103" t="str">
        <x:f>IF(Expert_A!G31="","",Expert_A!G31)</x:f>
      </x:c>
      <x:c r="E30" s="103" t="str">
        <x:f>IF(Expert_A!I31="","",Expert_A!I31)</x:f>
      </x:c>
      <x:c r="F30" s="103" t="str">
        <x:f>IF(Expert_B!F31="","",Expert_B!F31)</x:f>
      </x:c>
      <x:c r="G30" s="103" t="str">
        <x:f>IF(Expert_B!G31="","",Expert_B!G31)</x:f>
      </x:c>
      <x:c r="H30" s="103" t="str">
        <x:f>IF(Expert_B!I31="","",Expert_B!I31)</x:f>
      </x:c>
      <x:c r="I30" s="103" t="str">
        <x:f>IF(OR(C30="",F30=""),"",IF(AND(C30=F30,D30=G30,E30=H30),"AGREE","RECONCILE"))</x:f>
      </x:c>
      <x:c r="J30" s="89"/>
      <x:c r="K30" s="89"/>
      <x:c r="L30" s="91" t="str">
        <x:f>IF(K30="","",IFERROR(VLOOKUP(K30,ELCD_Catalog!$A$2:$B$609,2,FALSE),""))</x:f>
      </x:c>
      <x:c r="M30" s="89"/>
      <x:c r="N30" s="105"/>
      <x:c r="O30" s="105"/>
      <x:c r="P30" s="105"/>
      <x:c r="Q30" s="105"/>
      <x:c r="R30" s="105"/>
    </x:row>
    <x:row r="31">
      <x:c r="A31" s="38" t="str">
        <x:v>B13</x:v>
      </x:c>
      <x:c r="B31" s="38" t="str">
        <x:v>3mm Commercial Plywood</x:v>
      </x:c>
      <x:c r="C31" s="103" t="str">
        <x:f>IF(Expert_A!F32="","",Expert_A!F32)</x:f>
      </x:c>
      <x:c r="D31" s="103" t="str">
        <x:f>IF(Expert_A!G32="","",Expert_A!G32)</x:f>
      </x:c>
      <x:c r="E31" s="103" t="str">
        <x:f>IF(Expert_A!I32="","",Expert_A!I32)</x:f>
      </x:c>
      <x:c r="F31" s="103" t="str">
        <x:f>IF(Expert_B!F32="","",Expert_B!F32)</x:f>
      </x:c>
      <x:c r="G31" s="103" t="str">
        <x:f>IF(Expert_B!G32="","",Expert_B!G32)</x:f>
      </x:c>
      <x:c r="H31" s="103" t="str">
        <x:f>IF(Expert_B!I32="","",Expert_B!I32)</x:f>
      </x:c>
      <x:c r="I31" s="103" t="str">
        <x:f>IF(OR(C31="",F31=""),"",IF(AND(C31=F31,D31=G31,E31=H31),"AGREE","RECONCILE"))</x:f>
      </x:c>
      <x:c r="J31" s="89"/>
      <x:c r="K31" s="89"/>
      <x:c r="L31" s="91" t="str">
        <x:f>IF(K31="","",IFERROR(VLOOKUP(K31,ELCD_Catalog!$A$2:$B$609,2,FALSE),""))</x:f>
      </x:c>
      <x:c r="M31" s="89"/>
      <x:c r="N31" s="105"/>
      <x:c r="O31" s="105"/>
      <x:c r="P31" s="105"/>
      <x:c r="Q31" s="105"/>
      <x:c r="R31" s="105"/>
    </x:row>
    <x:row r="32">
      <x:c r="A32" s="38" t="str">
        <x:v>B14</x:v>
      </x:c>
      <x:c r="B32" s="38" t="str">
        <x:v>Bamboo</x:v>
      </x:c>
      <x:c r="C32" s="103" t="str">
        <x:f>IF(Expert_A!F33="","",Expert_A!F33)</x:f>
      </x:c>
      <x:c r="D32" s="103" t="str">
        <x:f>IF(Expert_A!G33="","",Expert_A!G33)</x:f>
      </x:c>
      <x:c r="E32" s="103" t="str">
        <x:f>IF(Expert_A!I33="","",Expert_A!I33)</x:f>
      </x:c>
      <x:c r="F32" s="103" t="str">
        <x:f>IF(Expert_B!F33="","",Expert_B!F33)</x:f>
      </x:c>
      <x:c r="G32" s="103" t="str">
        <x:f>IF(Expert_B!G33="","",Expert_B!G33)</x:f>
      </x:c>
      <x:c r="H32" s="103" t="str">
        <x:f>IF(Expert_B!I33="","",Expert_B!I33)</x:f>
      </x:c>
      <x:c r="I32" s="103" t="str">
        <x:f>IF(OR(C32="",F32=""),"",IF(AND(C32=F32,D32=G32,E32=H32),"AGREE","RECONCILE"))</x:f>
      </x:c>
      <x:c r="J32" s="89"/>
      <x:c r="K32" s="89"/>
      <x:c r="L32" s="91" t="str">
        <x:f>IF(K32="","",IFERROR(VLOOKUP(K32,ELCD_Catalog!$A$2:$B$609,2,FALSE),""))</x:f>
      </x:c>
      <x:c r="M32" s="89"/>
      <x:c r="N32" s="105"/>
      <x:c r="O32" s="105"/>
      <x:c r="P32" s="105"/>
      <x:c r="Q32" s="105"/>
      <x:c r="R32" s="105"/>
    </x:row>
    <x:row r="33">
      <x:c r="A33" s="38" t="str">
        <x:v>A01</x:v>
      </x:c>
      <x:c r="B33" s="38" t="str">
        <x:v>Cement</x:v>
      </x:c>
      <x:c r="C33" s="103" t="str">
        <x:f>IF(Expert_A!F34="","",Expert_A!F34)</x:f>
      </x:c>
      <x:c r="D33" s="103" t="str">
        <x:f>IF(Expert_A!G34="","",Expert_A!G34)</x:f>
      </x:c>
      <x:c r="E33" s="103" t="str">
        <x:f>IF(Expert_A!I34="","",Expert_A!I34)</x:f>
      </x:c>
      <x:c r="F33" s="103" t="str">
        <x:f>IF(Expert_B!F34="","",Expert_B!F34)</x:f>
      </x:c>
      <x:c r="G33" s="103" t="str">
        <x:f>IF(Expert_B!G34="","",Expert_B!G34)</x:f>
      </x:c>
      <x:c r="H33" s="103" t="str">
        <x:f>IF(Expert_B!I34="","",Expert_B!I34)</x:f>
      </x:c>
      <x:c r="I33" s="103" t="str">
        <x:f>IF(OR(C33="",F33=""),"",IF(AND(C33=F33,D33=G33,E33=H33),"AGREE","RECONCILE"))</x:f>
      </x:c>
      <x:c r="J33" s="89"/>
      <x:c r="K33" s="89"/>
      <x:c r="L33" s="91" t="str">
        <x:f>IF(K33="","",IFERROR(VLOOKUP(K33,ELCD_Catalog!$A$2:$B$609,2,FALSE),""))</x:f>
      </x:c>
      <x:c r="M33" s="89"/>
      <x:c r="N33" s="105"/>
      <x:c r="O33" s="105"/>
      <x:c r="P33" s="105"/>
      <x:c r="Q33" s="105"/>
      <x:c r="R33" s="105"/>
    </x:row>
    <x:row r="34">
      <x:c r="A34" s="38" t="str">
        <x:v>A02</x:v>
      </x:c>
      <x:c r="B34" s="38" t="str">
        <x:v>Sand</x:v>
      </x:c>
      <x:c r="C34" s="103" t="str">
        <x:f>IF(Expert_A!F35="","",Expert_A!F35)</x:f>
      </x:c>
      <x:c r="D34" s="103" t="str">
        <x:f>IF(Expert_A!G35="","",Expert_A!G35)</x:f>
      </x:c>
      <x:c r="E34" s="103" t="str">
        <x:f>IF(Expert_A!I35="","",Expert_A!I35)</x:f>
      </x:c>
      <x:c r="F34" s="103" t="str">
        <x:f>IF(Expert_B!F35="","",Expert_B!F35)</x:f>
      </x:c>
      <x:c r="G34" s="103" t="str">
        <x:f>IF(Expert_B!G35="","",Expert_B!G35)</x:f>
      </x:c>
      <x:c r="H34" s="103" t="str">
        <x:f>IF(Expert_B!I35="","",Expert_B!I35)</x:f>
      </x:c>
      <x:c r="I34" s="103" t="str">
        <x:f>IF(OR(C34="",F34=""),"",IF(AND(C34=F34,D34=G34,E34=H34),"AGREE","RECONCILE"))</x:f>
      </x:c>
      <x:c r="J34" s="89"/>
      <x:c r="K34" s="89"/>
      <x:c r="L34" s="91" t="str">
        <x:f>IF(K34="","",IFERROR(VLOOKUP(K34,ELCD_Catalog!$A$2:$B$609,2,FALSE),""))</x:f>
      </x:c>
      <x:c r="M34" s="89"/>
      <x:c r="N34" s="105"/>
      <x:c r="O34" s="105"/>
      <x:c r="P34" s="105"/>
      <x:c r="Q34" s="105"/>
      <x:c r="R34" s="105"/>
    </x:row>
    <x:row r="35">
      <x:c r="A35" s="38" t="str">
        <x:v>A03</x:v>
      </x:c>
      <x:c r="B35" s="38" t="str">
        <x:v>Natural Gravel</x:v>
      </x:c>
      <x:c r="C35" s="103" t="str">
        <x:f>IF(Expert_A!F36="","",Expert_A!F36)</x:f>
      </x:c>
      <x:c r="D35" s="103" t="str">
        <x:f>IF(Expert_A!G36="","",Expert_A!G36)</x:f>
      </x:c>
      <x:c r="E35" s="103" t="str">
        <x:f>IF(Expert_A!I36="","",Expert_A!I36)</x:f>
      </x:c>
      <x:c r="F35" s="103" t="str">
        <x:f>IF(Expert_B!F36="","",Expert_B!F36)</x:f>
      </x:c>
      <x:c r="G35" s="103" t="str">
        <x:f>IF(Expert_B!G36="","",Expert_B!G36)</x:f>
      </x:c>
      <x:c r="H35" s="103" t="str">
        <x:f>IF(Expert_B!I36="","",Expert_B!I36)</x:f>
      </x:c>
      <x:c r="I35" s="103" t="str">
        <x:f>IF(OR(C35="",F35=""),"",IF(AND(C35=F35,D35=G35,E35=H35),"AGREE","RECONCILE"))</x:f>
      </x:c>
      <x:c r="J35" s="89"/>
      <x:c r="K35" s="89"/>
      <x:c r="L35" s="91" t="str">
        <x:f>IF(K35="","",IFERROR(VLOOKUP(K35,ELCD_Catalog!$A$2:$B$609,2,FALSE),""))</x:f>
      </x:c>
      <x:c r="M35" s="89"/>
      <x:c r="N35" s="105"/>
      <x:c r="O35" s="105"/>
      <x:c r="P35" s="105"/>
      <x:c r="Q35" s="105"/>
      <x:c r="R35" s="105"/>
    </x:row>
    <x:row r="36">
      <x:c r="A36" s="38" t="str">
        <x:v>A04</x:v>
      </x:c>
      <x:c r="B36" s="38" t="str">
        <x:v>Soil Blocks</x:v>
      </x:c>
      <x:c r="C36" s="103" t="str">
        <x:f>IF(Expert_A!F37="","",Expert_A!F37)</x:f>
      </x:c>
      <x:c r="D36" s="103" t="str">
        <x:f>IF(Expert_A!G37="","",Expert_A!G37)</x:f>
      </x:c>
      <x:c r="E36" s="103" t="str">
        <x:f>IF(Expert_A!I37="","",Expert_A!I37)</x:f>
      </x:c>
      <x:c r="F36" s="103" t="str">
        <x:f>IF(Expert_B!F37="","",Expert_B!F37)</x:f>
      </x:c>
      <x:c r="G36" s="103" t="str">
        <x:f>IF(Expert_B!G37="","",Expert_B!G37)</x:f>
      </x:c>
      <x:c r="H36" s="103" t="str">
        <x:f>IF(Expert_B!I37="","",Expert_B!I37)</x:f>
      </x:c>
      <x:c r="I36" s="103" t="str">
        <x:f>IF(OR(C36="",F36=""),"",IF(AND(C36=F36,D36=G36,E36=H36),"AGREE","RECONCILE"))</x:f>
      </x:c>
      <x:c r="J36" s="89"/>
      <x:c r="K36" s="89"/>
      <x:c r="L36" s="91" t="str">
        <x:f>IF(K36="","",IFERROR(VLOOKUP(K36,ELCD_Catalog!$A$2:$B$609,2,FALSE),""))</x:f>
      </x:c>
      <x:c r="M36" s="89"/>
      <x:c r="N36" s="105"/>
      <x:c r="O36" s="105"/>
      <x:c r="P36" s="105"/>
      <x:c r="Q36" s="105"/>
      <x:c r="R36" s="105"/>
    </x:row>
    <x:row r="37">
      <x:c r="A37" s="38" t="str">
        <x:v>A05</x:v>
      </x:c>
      <x:c r="B37" s="38" t="str">
        <x:v>Wood</x:v>
      </x:c>
      <x:c r="C37" s="103" t="str">
        <x:f>IF(Expert_A!F38="","",Expert_A!F38)</x:f>
      </x:c>
      <x:c r="D37" s="103" t="str">
        <x:f>IF(Expert_A!G38="","",Expert_A!G38)</x:f>
      </x:c>
      <x:c r="E37" s="103" t="str">
        <x:f>IF(Expert_A!I38="","",Expert_A!I38)</x:f>
      </x:c>
      <x:c r="F37" s="103" t="str">
        <x:f>IF(Expert_B!F38="","",Expert_B!F38)</x:f>
      </x:c>
      <x:c r="G37" s="103" t="str">
        <x:f>IF(Expert_B!G38="","",Expert_B!G38)</x:f>
      </x:c>
      <x:c r="H37" s="103" t="str">
        <x:f>IF(Expert_B!I38="","",Expert_B!I38)</x:f>
      </x:c>
      <x:c r="I37" s="103" t="str">
        <x:f>IF(OR(C37="",F37=""),"",IF(AND(C37=F37,D37=G37,E37=H37),"AGREE","RECONCILE"))</x:f>
      </x:c>
      <x:c r="J37" s="89"/>
      <x:c r="K37" s="89"/>
      <x:c r="L37" s="91" t="str">
        <x:f>IF(K37="","",IFERROR(VLOOKUP(K37,ELCD_Catalog!$A$2:$B$609,2,FALSE),""))</x:f>
      </x:c>
      <x:c r="M37" s="89"/>
      <x:c r="N37" s="105"/>
      <x:c r="O37" s="105"/>
      <x:c r="P37" s="105"/>
      <x:c r="Q37" s="105"/>
      <x:c r="R37" s="105"/>
    </x:row>
    <x:row r="38">
      <x:c r="A38" s="38" t="str">
        <x:v>A06</x:v>
      </x:c>
      <x:c r="B38" s="38" t="str">
        <x:v>Bamboo</x:v>
      </x:c>
      <x:c r="C38" s="103" t="str">
        <x:f>IF(Expert_A!F39="","",Expert_A!F39)</x:f>
      </x:c>
      <x:c r="D38" s="103" t="str">
        <x:f>IF(Expert_A!G39="","",Expert_A!G39)</x:f>
      </x:c>
      <x:c r="E38" s="103" t="str">
        <x:f>IF(Expert_A!I39="","",Expert_A!I39)</x:f>
      </x:c>
      <x:c r="F38" s="103" t="str">
        <x:f>IF(Expert_B!F39="","",Expert_B!F39)</x:f>
      </x:c>
      <x:c r="G38" s="103" t="str">
        <x:f>IF(Expert_B!G39="","",Expert_B!G39)</x:f>
      </x:c>
      <x:c r="H38" s="103" t="str">
        <x:f>IF(Expert_B!I39="","",Expert_B!I39)</x:f>
      </x:c>
      <x:c r="I38" s="103" t="str">
        <x:f>IF(OR(C38="",F38=""),"",IF(AND(C38=F38,D38=G38,E38=H38),"AGREE","RECONCILE"))</x:f>
      </x:c>
      <x:c r="J38" s="89"/>
      <x:c r="K38" s="89"/>
      <x:c r="L38" s="91" t="str">
        <x:f>IF(K38="","",IFERROR(VLOOKUP(K38,ELCD_Catalog!$A$2:$B$609,2,FALSE),""))</x:f>
      </x:c>
      <x:c r="M38" s="89"/>
      <x:c r="N38" s="105"/>
      <x:c r="O38" s="105"/>
      <x:c r="P38" s="105"/>
      <x:c r="Q38" s="105"/>
      <x:c r="R38" s="105"/>
    </x:row>
    <x:row r="39">
      <x:c r="A39" s="38" t="str">
        <x:v>A07</x:v>
      </x:c>
      <x:c r="B39" s="38" t="str">
        <x:v>Rebar</x:v>
      </x:c>
      <x:c r="C39" s="103" t="str">
        <x:f>IF(Expert_A!F40="","",Expert_A!F40)</x:f>
      </x:c>
      <x:c r="D39" s="103" t="str">
        <x:f>IF(Expert_A!G40="","",Expert_A!G40)</x:f>
      </x:c>
      <x:c r="E39" s="103" t="str">
        <x:f>IF(Expert_A!I40="","",Expert_A!I40)</x:f>
      </x:c>
      <x:c r="F39" s="103" t="str">
        <x:f>IF(Expert_B!F40="","",Expert_B!F40)</x:f>
      </x:c>
      <x:c r="G39" s="103" t="str">
        <x:f>IF(Expert_B!G40="","",Expert_B!G40)</x:f>
      </x:c>
      <x:c r="H39" s="103" t="str">
        <x:f>IF(Expert_B!I40="","",Expert_B!I40)</x:f>
      </x:c>
      <x:c r="I39" s="103" t="str">
        <x:f>IF(OR(C39="",F39=""),"",IF(AND(C39=F39,D39=G39,E39=H39),"AGREE","RECONCILE"))</x:f>
      </x:c>
      <x:c r="J39" s="89"/>
      <x:c r="K39" s="89"/>
      <x:c r="L39" s="91" t="str">
        <x:f>IF(K39="","",IFERROR(VLOOKUP(K39,ELCD_Catalog!$A$2:$B$609,2,FALSE),""))</x:f>
      </x:c>
      <x:c r="M39" s="89"/>
      <x:c r="N39" s="105"/>
      <x:c r="O39" s="105"/>
      <x:c r="P39" s="105"/>
      <x:c r="Q39" s="105"/>
      <x:c r="R39" s="105"/>
    </x:row>
    <x:row r="40">
      <x:c r="A40" s="38" t="str">
        <x:v>A08</x:v>
      </x:c>
      <x:c r="B40" s="38" t="str">
        <x:v>Soil</x:v>
      </x:c>
      <x:c r="C40" s="103" t="str">
        <x:f>IF(Expert_A!F41="","",Expert_A!F41)</x:f>
      </x:c>
      <x:c r="D40" s="103" t="str">
        <x:f>IF(Expert_A!G41="","",Expert_A!G41)</x:f>
      </x:c>
      <x:c r="E40" s="103" t="str">
        <x:f>IF(Expert_A!I41="","",Expert_A!I41)</x:f>
      </x:c>
      <x:c r="F40" s="103" t="str">
        <x:f>IF(Expert_B!F41="","",Expert_B!F41)</x:f>
      </x:c>
      <x:c r="G40" s="103" t="str">
        <x:f>IF(Expert_B!G41="","",Expert_B!G41)</x:f>
      </x:c>
      <x:c r="H40" s="103" t="str">
        <x:f>IF(Expert_B!I41="","",Expert_B!I41)</x:f>
      </x:c>
      <x:c r="I40" s="103" t="str">
        <x:f>IF(OR(C40="",F40=""),"",IF(AND(C40=F40,D40=G40,E40=H40),"AGREE","RECONCILE"))</x:f>
      </x:c>
      <x:c r="J40" s="89"/>
      <x:c r="K40" s="89"/>
      <x:c r="L40" s="91" t="str">
        <x:f>IF(K40="","",IFERROR(VLOOKUP(K40,ELCD_Catalog!$A$2:$B$609,2,FALSE),""))</x:f>
      </x:c>
      <x:c r="M40" s="89"/>
      <x:c r="N40" s="105"/>
      <x:c r="O40" s="105"/>
      <x:c r="P40" s="105"/>
      <x:c r="Q40" s="105"/>
      <x:c r="R40" s="105"/>
    </x:row>
    <x:row r="41">
      <x:c r="A41" s="39" t="str">
        <x:v>A09</x:v>
      </x:c>
      <x:c r="B41" s="39" t="str">
        <x:v>CGI Sheets</x:v>
      </x:c>
      <x:c r="C41" s="104" t="str">
        <x:f>IF(Expert_A!F42="","",Expert_A!F42)</x:f>
      </x:c>
      <x:c r="D41" s="104" t="str">
        <x:f>IF(Expert_A!G42="","",Expert_A!G42)</x:f>
      </x:c>
      <x:c r="E41" s="104" t="str">
        <x:f>IF(Expert_A!I42="","",Expert_A!I42)</x:f>
      </x:c>
      <x:c r="F41" s="104" t="str">
        <x:f>IF(Expert_B!F42="","",Expert_B!F42)</x:f>
      </x:c>
      <x:c r="G41" s="104" t="str">
        <x:f>IF(Expert_B!G42="","",Expert_B!G42)</x:f>
      </x:c>
      <x:c r="H41" s="104" t="str">
        <x:f>IF(Expert_B!I42="","",Expert_B!I42)</x:f>
      </x:c>
      <x:c r="I41" s="104" t="str">
        <x:f>IF(OR(C41="",F41=""),"",IF(AND(C41=F41,D41=G41,E41=H41),"AGREE","RECONCILE"))</x:f>
      </x:c>
      <x:c r="J41" s="90"/>
      <x:c r="K41" s="90"/>
      <x:c r="L41" s="92" t="str">
        <x:f>IF(K41="","",IFERROR(VLOOKUP(K41,ELCD_Catalog!$A$2:$B$609,2,FALSE),""))</x:f>
      </x:c>
      <x:c r="M41" s="90"/>
      <x:c r="N41" s="107"/>
      <x:c r="O41" s="107"/>
      <x:c r="P41" s="107"/>
      <x:c r="Q41" s="107"/>
      <x:c r="R41" s="105"/>
    </x:row>
  </x:sheetData>
  <x:mergeCells>
    <x:mergeCell ref="A1:Q1"/>
    <x:mergeCell ref="A1:R1"/>
  </x:mergeCells>
  <x:conditionalFormatting sqref="I7:I41">
    <x:cfRule type="expression" dxfId="0" priority="1">
      <x:formula>I7="AGREE"</x:formula>
    </x:cfRule>
    <x:cfRule type="expression" dxfId="1" priority="2">
      <x:formula>I7="RECONCILE"</x:formula>
    </x:cfRule>
    <x:cfRule type="expression" dxfId="4" priority="5">
      <x:formula>I7="AGREE"</x:formula>
    </x:cfRule>
    <x:cfRule type="expression" dxfId="5" priority="6">
      <x:formula>I7="RECONCILE"</x:formula>
    </x:cfRule>
  </x:conditionalFormatting>
  <x:conditionalFormatting sqref="P7:P41">
    <x:cfRule type="expression" dxfId="2" priority="3">
      <x:formula>P7="Exact Match"</x:formula>
    </x:cfRule>
    <x:cfRule type="expression" dxfId="3" priority="4">
      <x:formula>P7="Incorrect"</x:formula>
    </x:cfRule>
  </x:conditionalFormatting>
  <x:dataValidations count="6">
    <x:dataValidation type="list" sqref="L7:L41">
      <x:formula1>"Direct,Proxy,Review Required"</x:formula1>
    </x:dataValidation>
    <x:dataValidation type="list" sqref="O7:O41">
      <x:formula1>"Direct,Proxy,Review Required"</x:formula1>
    </x:dataValidation>
    <x:dataValidation type="list" sqref="P7:P41">
      <x:formula1>"Direct,Proxy,Review Required"</x:formula1>
    </x:dataValidation>
    <x:dataValidation type="list" sqref="K7:K41">
      <x:formula1>INDIRECT("ELCD_Catalog!$A$2:$A$609")</x:formula1>
    </x:dataValidation>
    <x:dataValidation type="list" sqref="M7:M41">
      <x:formula1>"Direct,Proxy,Review Required"</x:formula1>
    </x:dataValidation>
    <x:dataValidation type="list" sqref="Q7:Q41">
      <x:formula1>"Exact Match,Acceptable Alternative,Incorrect,Review Required"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58" hidden="0" customWidth="1"/>
    <x:col min="2" max="2" width="38" hidden="0" customWidth="1"/>
    <x:col min="3" max="3" width="52" hidden="0" customWidth="1"/>
    <x:col min="4" max="4" width="12" hidden="0" customWidth="1"/>
    <x:col min="5" max="5" width="22" hidden="0" customWidth="1"/>
    <x:col min="6" max="6" width="24" hidden="0" customWidth="1"/>
    <x:col min="7" max="7" width="16" hidden="0" customWidth="1"/>
    <x:col min="9" max="9" width="18" hidden="0" customWidth="1"/>
    <x:col min="10" max="10" width="44" hidden="0" customWidth="1"/>
  </x:cols>
  <x:sheetData>
    <x:row r="1">
      <x:c r="A1" s="85" t="str">
        <x:v>Selection Label</x:v>
      </x:c>
      <x:c r="B1" s="85" t="str">
        <x:v>Process UUID</x:v>
      </x:c>
      <x:c r="C1" s="85" t="str">
        <x:v>Process Name</x:v>
      </x:c>
      <x:c r="D1" s="85" t="str">
        <x:v>Location</x:v>
      </x:c>
      <x:c r="E1" s="85" t="str">
        <x:v>Process Type</x:v>
      </x:c>
      <x:c r="F1" s="85" t="str">
        <x:v>Category</x:v>
      </x:c>
      <x:c r="G1" s="85" t="str">
        <x:v>Library</x:v>
      </x:c>
      <x:c r="I1" s="88" t="str">
        <x:v>How to use this sheet</x:v>
      </x:c>
      <x:c r="J1" s="88" t="str"/>
    </x:row>
    <x:row r="2">
      <x:c r="A2" s="36" t="str">
        <x:v>Electricity Mix, consumption mix, at consumer, AC, 230-240V | GB | 00043bd2</x:v>
      </x:c>
      <x:c r="B2" s="36" t="str">
        <x:v>00043bd2-4563-4d73-8df8-b84b5d8902fc</x:v>
      </x:c>
      <x:c r="C2" s="36" t="str">
        <x:v>Electricity Mix, consumption mix, at consumer, AC, 230-240V</x:v>
      </x:c>
      <x:c r="D2" s="36" t="str">
        <x:v>GB</x:v>
      </x:c>
      <x:c r="E2" s="36" t="str">
        <x:v>ProcessType.LCI_RESULT</x:v>
      </x:c>
      <x:c r="F2" s="36" t="str"/>
      <x:c r="G2" s="36" t="str"/>
      <x:c r="I2" s="36" t="str">
        <x:v>1</x:v>
      </x:c>
      <x:c r="J2" s="36" t="str">
        <x:v>Filter/search Process Name or Selection Label.</x:v>
      </x:c>
    </x:row>
    <x:row r="3">
      <x:c r="A3" s="36" t="str">
        <x:v>Process steam from natural gas, consumption mix, at plant, heat plant, MJ | SK | 00174864</x:v>
      </x:c>
      <x:c r="B3" s="36" t="str">
        <x:v>00174864-910e-4952-8f02-6ea3a2efa77b</x:v>
      </x:c>
      <x:c r="C3" s="36" t="str">
        <x:v>Process steam from natural gas, consumption mix, at plant, heat plant, MJ</x:v>
      </x:c>
      <x:c r="D3" s="36" t="str">
        <x:v>SK</x:v>
      </x:c>
      <x:c r="E3" s="36" t="str">
        <x:v>ProcessType.LCI_RESULT</x:v>
      </x:c>
      <x:c r="F3" s="36" t="str"/>
      <x:c r="G3" s="36" t="str"/>
      <x:c r="I3" s="36" t="str">
        <x:v>2</x:v>
      </x:c>
      <x:c r="J3" s="36" t="str">
        <x:v>Use the Selection Label in Expert_A / Expert_B.</x:v>
      </x:c>
    </x:row>
    <x:row r="4">
      <x:c r="A4" s="36" t="str">
        <x:v>Electricity Mix, consumption mix, at consumer, AC, &lt; 1kV | EU-27 | 001b3cb7</x:v>
      </x:c>
      <x:c r="B4" s="36" t="str">
        <x:v>001b3cb7-b868-4061-8a91-3e6d7bcc90c6</x:v>
      </x:c>
      <x:c r="C4" s="36" t="str">
        <x:v>Electricity Mix, consumption mix, at consumer, AC, &lt; 1kV</x:v>
      </x:c>
      <x:c r="D4" s="36" t="str">
        <x:v>EU-27</x:v>
      </x:c>
      <x:c r="E4" s="36" t="str">
        <x:v>ProcessType.LCI_RESULT</x:v>
      </x:c>
      <x:c r="F4" s="36" t="str"/>
      <x:c r="G4" s="36" t="str"/>
      <x:c r="I4" s="36" t="str">
        <x:v>3</x:v>
      </x:c>
      <x:c r="J4" s="36" t="str">
        <x:v>The catalog contains 608 processes exported from the active openLCA database.</x:v>
      </x:c>
    </x:row>
    <x:row r="5">
      <x:c r="A5" s="36" t="str">
        <x:v>Process steam from Light fuel oil 90%, consumption mix, at power plant, heat plant, MJ, 90 % efficiency | EU-27 | 00f9cd63</x:v>
      </x:c>
      <x:c r="B5" s="36" t="str">
        <x:v>00f9cd63-cba5-4c94-ade3-a4248a9b9dc2</x:v>
      </x:c>
      <x:c r="C5" s="36" t="str">
        <x:v>Process steam from Light fuel oil 90%, consumption mix, at power plant, heat plant, MJ, 90 % efficiency</x:v>
      </x:c>
      <x:c r="D5" s="36" t="str">
        <x:v>EU-27</x:v>
      </x:c>
      <x:c r="E5" s="36" t="str">
        <x:v>ProcessType.LCI_RESULT</x:v>
      </x:c>
      <x:c r="F5" s="36" t="str"/>
      <x:c r="G5" s="36" t="str"/>
    </x:row>
    <x:row r="6">
      <x:c r="A6" s="36" t="str">
        <x:v>Polyethylene terephthalate (PET) granulate, production mix, at plant, amorphous | RER | 028b2915</x:v>
      </x:c>
      <x:c r="B6" s="36" t="str">
        <x:v>028b2915-00a5-4967-b356-34bce19960c3</x:v>
      </x:c>
      <x:c r="C6" s="36" t="str">
        <x:v>Polyethylene terephthalate (PET) granulate, production mix, at plant, amorphous</x:v>
      </x:c>
      <x:c r="D6" s="36" t="str">
        <x:v>RER</x:v>
      </x:c>
      <x:c r="E6" s="36" t="str">
        <x:v>ProcessType.LCI_RESULT</x:v>
      </x:c>
      <x:c r="F6" s="36" t="str"/>
      <x:c r="G6" s="36" t="str"/>
    </x:row>
    <x:row r="7">
      <x:c r="A7" s="36" t="str">
        <x:v>Electricity grid mix, consumption mix, at consumer, AC, 230V | FI | 041ec348</x:v>
      </x:c>
      <x:c r="B7" s="36" t="str">
        <x:v>041ec348-4b41-4caa-afe6-8e322e1faa81</x:v>
      </x:c>
      <x:c r="C7" s="36" t="str">
        <x:v>Electricity grid mix, consumption mix, at consumer, AC, 230V</x:v>
      </x:c>
      <x:c r="D7" s="36" t="str">
        <x:v>FI</x:v>
      </x:c>
      <x:c r="E7" s="36" t="str">
        <x:v>ProcessType.LCI_RESULT</x:v>
      </x:c>
      <x:c r="F7" s="36" t="str"/>
      <x:c r="G7" s="36" t="str"/>
    </x:row>
    <x:row r="8">
      <x:c r="A8" s="36" t="str">
        <x:v>Electricity grid mix, consumption mix, at consumer, AC, 230V | LU | 05169f84</x:v>
      </x:c>
      <x:c r="B8" s="36" t="str">
        <x:v>05169f84-22bb-48aa-a054-6cb5317b7a97</x:v>
      </x:c>
      <x:c r="C8" s="36" t="str">
        <x:v>Electricity grid mix, consumption mix, at consumer, AC, 230V</x:v>
      </x:c>
      <x:c r="D8" s="36" t="str">
        <x:v>LU</x:v>
      </x:c>
      <x:c r="E8" s="36" t="str">
        <x:v>ProcessType.LCI_RESULT</x:v>
      </x:c>
      <x:c r="F8" s="36" t="str"/>
      <x:c r="G8" s="36" t="str"/>
    </x:row>
    <x:row r="9">
      <x:c r="A9" s="36" t="str">
        <x:v>Process steam from natural gas 90%, consumption mix, at power plant, heat plant, MJ, 90 % efficiency | PT | 053bdcf5</x:v>
      </x:c>
      <x:c r="B9" s="36" t="str">
        <x:v>053bdcf5-bb2b-4ddd-8662-cbfd8c38ee97</x:v>
      </x:c>
      <x:c r="C9" s="36" t="str">
        <x:v>Process steam from natural gas 90%, consumption mix, at power plant, heat plant, MJ, 90 % efficiency</x:v>
      </x:c>
      <x:c r="D9" s="36" t="str">
        <x:v>PT</x:v>
      </x:c>
      <x:c r="E9" s="36" t="str">
        <x:v>ProcessType.LCI_RESULT</x:v>
      </x:c>
      <x:c r="F9" s="36" t="str"/>
      <x:c r="G9" s="36" t="str"/>
    </x:row>
    <x:row r="10">
      <x:c r="A10" s="36" t="str">
        <x:v>Electricity Mix, consumption mix, at consumer, AC, 1kV - 60kV | SK | 05c86203</x:v>
      </x:c>
      <x:c r="B10" s="36" t="str">
        <x:v>05c86203-18c2-4f05-9ff2-a36dd58eed76</x:v>
      </x:c>
      <x:c r="C10" s="36" t="str">
        <x:v>Electricity Mix, consumption mix, at consumer, AC, 1kV - 60kV</x:v>
      </x:c>
      <x:c r="D10" s="36" t="str">
        <x:v>SK</x:v>
      </x:c>
      <x:c r="E10" s="36" t="str">
        <x:v>ProcessType.LCI_RESULT</x:v>
      </x:c>
      <x:c r="F10" s="36" t="str"/>
      <x:c r="G10" s="36" t="str"/>
    </x:row>
    <x:row r="11">
      <x:c r="A11" s="36" t="str">
        <x:v>Compressed air, production mix, 7 bar, high efficiency, low power consumption | GLO | 06b7cba4</x:v>
      </x:c>
      <x:c r="B11" s="36" t="str">
        <x:v>06b7cba4-aa16-43ab-8031-0719079550be</x:v>
      </x:c>
      <x:c r="C11" s="36" t="str">
        <x:v>Compressed air, production mix, 7 bar, high efficiency, low power consumption</x:v>
      </x:c>
      <x:c r="D11" s="36" t="str">
        <x:v>GLO</x:v>
      </x:c>
      <x:c r="E11" s="36" t="str">
        <x:v>ProcessType.UNIT_PROCESS</x:v>
      </x:c>
      <x:c r="F11" s="36" t="str"/>
      <x:c r="G11" s="36" t="str"/>
    </x:row>
    <x:row r="12">
      <x:c r="A12" s="36" t="str">
        <x:v>Polyethylene high density granulate (PE-HD), production mix, at plant | RER | 0704c700</x:v>
      </x:c>
      <x:c r="B12" s="36" t="str">
        <x:v>0704c700-2fb0-43c5-8803-bed8a6f1b968</x:v>
      </x:c>
      <x:c r="C12" s="36" t="str">
        <x:v>Polyethylene high density granulate (PE-HD), production mix, at plant</x:v>
      </x:c>
      <x:c r="D12" s="36" t="str">
        <x:v>RER</x:v>
      </x:c>
      <x:c r="E12" s="36" t="str">
        <x:v>ProcessType.LCI_RESULT</x:v>
      </x:c>
      <x:c r="F12" s="36" t="str"/>
      <x:c r="G12" s="36" t="str"/>
    </x:row>
    <x:row r="13">
      <x:c r="A13" s="36" t="str">
        <x:v>Titanium Dioxide, production mix, at plant, Chloride and sulphate processes, &gt; 80% TiO2 | GLO | 07927a54</x:v>
      </x:c>
      <x:c r="B13" s="36" t="str">
        <x:v>07927a54-b4f1-5e6e-94ca-00006717e913</x:v>
      </x:c>
      <x:c r="C13" s="36" t="str">
        <x:v>Titanium Dioxide, production mix, at plant, Chloride and sulphate processes, &gt; 80% TiO2</x:v>
      </x:c>
      <x:c r="D13" s="36" t="str">
        <x:v>GLO</x:v>
      </x:c>
      <x:c r="E13" s="36" t="str">
        <x:v>ProcessType.LCI_RESULT</x:v>
      </x:c>
      <x:c r="F13" s="36" t="str"/>
      <x:c r="G13" s="36" t="str"/>
    </x:row>
    <x:row r="14">
      <x:c r="A14" s="36" t="str">
        <x:v>Process steam from natural gas 90%, consumption mix, at power plant, heat plant, MJ, 90 % efficiency | HU | 07b3df94</x:v>
      </x:c>
      <x:c r="B14" s="36" t="str">
        <x:v>07b3df94-53e8-46b7-b037-c972e1c71363</x:v>
      </x:c>
      <x:c r="C14" s="36" t="str">
        <x:v>Process steam from natural gas 90%, consumption mix, at power plant, heat plant, MJ, 90 % efficiency</x:v>
      </x:c>
      <x:c r="D14" s="36" t="str">
        <x:v>HU</x:v>
      </x:c>
      <x:c r="E14" s="36" t="str">
        <x:v>ProcessType.LCI_RESULT</x:v>
      </x:c>
      <x:c r="F14" s="36" t="str"/>
      <x:c r="G14" s="36" t="str"/>
    </x:row>
    <x:row r="15">
      <x:c r="A15" s="36" t="str">
        <x:v>Process steam from Light fuel oil 90 %, consumption mix, at power plant, heat plant, MJ, 90 % efficiency | GB | 08bdee5c</x:v>
      </x:c>
      <x:c r="B15" s="36" t="str">
        <x:v>08bdee5c-6e1d-41e2-b2e2-d7fa2a868add</x:v>
      </x:c>
      <x:c r="C15" s="36" t="str">
        <x:v>Process steam from Light fuel oil 90 %, consumption mix, at power plant, heat plant, MJ, 90 % efficiency</x:v>
      </x:c>
      <x:c r="D15" s="36" t="str">
        <x:v>GB</x:v>
      </x:c>
      <x:c r="E15" s="36" t="str">
        <x:v>ProcessType.LCI_RESULT</x:v>
      </x:c>
      <x:c r="F15" s="36" t="str"/>
      <x:c r="G15" s="36" t="str"/>
    </x:row>
    <x:row r="16">
      <x:c r="A16" s="36" t="str">
        <x:v>Aluminium extrusion profile, production mix, at plant, primary production, aluminium semi-finished extrusion product, including primary production, transformation and   recycling | RER | 09215eb0</x:v>
      </x:c>
      <x:c r="B16" s="36" t="str">
        <x:v>09215eb0-5fc9-11dd-ad8b-0800200c9a66</x:v>
      </x:c>
      <x:c r="C16" s="36" t="str">
        <x:v>Aluminium extrusion profile, production mix, at plant, primary production, aluminium semi-finished extrusion product, including primary production, transformation and   recycling</x:v>
      </x:c>
      <x:c r="D16" s="36" t="str">
        <x:v>RER</x:v>
      </x:c>
      <x:c r="E16" s="36" t="str">
        <x:v>ProcessType.LCI_RESULT</x:v>
      </x:c>
      <x:c r="F16" s="36" t="str"/>
      <x:c r="G16" s="36" t="str"/>
    </x:row>
    <x:row r="17">
      <x:c r="A17" s="36" t="str">
        <x:v>Aluminium sheet, production mix, at plant, primary production, aluminium semi-finished sheet product, including primary production, transformation and recycling | RER | 09215eb1</x:v>
      </x:c>
      <x:c r="B17" s="36" t="str">
        <x:v>09215eb1-5fc9-11dd-ad8b-0800200c9a66</x:v>
      </x:c>
      <x:c r="C17" s="36" t="str">
        <x:v>Aluminium sheet, production mix, at plant, primary production, aluminium semi-finished sheet product, including primary production, transformation and recycling</x:v>
      </x:c>
      <x:c r="D17" s="36" t="str">
        <x:v>RER</x:v>
      </x:c>
      <x:c r="E17" s="36" t="str">
        <x:v>ProcessType.LCI_RESULT</x:v>
      </x:c>
      <x:c r="F17" s="36" t="str"/>
      <x:c r="G17" s="36" t="str"/>
    </x:row>
    <x:row r="18">
      <x:c r="A18" s="36" t="str">
        <x:v>Electricity Mix, consumption mix, at consumer, AC, 1kV - 60kV | HU | 0965577d</x:v>
      </x:c>
      <x:c r="B18" s="36" t="str">
        <x:v>0965577d-4e1a-44d0-bcc9-6e309fec0d3c</x:v>
      </x:c>
      <x:c r="C18" s="36" t="str">
        <x:v>Electricity Mix, consumption mix, at consumer, AC, 1kV - 60kV</x:v>
      </x:c>
      <x:c r="D18" s="36" t="str">
        <x:v>HU</x:v>
      </x:c>
      <x:c r="E18" s="36" t="str">
        <x:v>ProcessType.LCI_RESULT</x:v>
      </x:c>
      <x:c r="F18" s="36" t="str"/>
      <x:c r="G18" s="36" t="str"/>
    </x:row>
    <x:row r="19">
      <x:c r="A19" s="36" t="str">
        <x:v>Electricity Mix, consumption mix, at consumer, AC, 230V | SE | 0982d3bc</x:v>
      </x:c>
      <x:c r="B19" s="36" t="str">
        <x:v>0982d3bc-3459-44f8-82d4-c0b90b3bcafc</x:v>
      </x:c>
      <x:c r="C19" s="36" t="str">
        <x:v>Electricity Mix, consumption mix, at consumer, AC, 230V</x:v>
      </x:c>
      <x:c r="D19" s="36" t="str">
        <x:v>SE</x:v>
      </x:c>
      <x:c r="E19" s="36" t="str">
        <x:v>ProcessType.LCI_RESULT</x:v>
      </x:c>
      <x:c r="F19" s="36" t="str"/>
      <x:c r="G19" s="36" t="str"/>
    </x:row>
    <x:row r="20">
      <x:c r="A20" s="36" t="str">
        <x:v>Barge, technology mix, 1.228 t pay load capacity | RER | 09aa1e7b</x:v>
      </x:c>
      <x:c r="B20" s="36" t="str">
        <x:v>09aa1e7b-1d7d-4a7c-8dde-ec6d40022fa1</x:v>
      </x:c>
      <x:c r="C20" s="36" t="str">
        <x:v>Barge, technology mix, 1.228 t pay load capacity</x:v>
      </x:c>
      <x:c r="D20" s="36" t="str">
        <x:v>RER</x:v>
      </x:c>
      <x:c r="E20" s="36" t="str">
        <x:v>ProcessType.LCI_RESULT</x:v>
      </x:c>
      <x:c r="F20" s="36" t="str"/>
      <x:c r="G20" s="36" t="str"/>
    </x:row>
    <x:row r="21">
      <x:c r="A21" s="36" t="str">
        <x:v>Steel sections (ILCD), production mix, at plant, blast furnace route / electric arc furnace route, 1 kg | GLO | 09d61948</x:v>
      </x:c>
      <x:c r="B21" s="36" t="str">
        <x:v>09d61948-238a-40e7-8e1f-afdc0c98f902</x:v>
      </x:c>
      <x:c r="C21" s="36" t="str">
        <x:v>Steel sections (ILCD), production mix, at plant, blast furnace route / electric arc furnace route, 1 kg</x:v>
      </x:c>
      <x:c r="D21" s="36" t="str">
        <x:v>GLO</x:v>
      </x:c>
      <x:c r="E21" s="36" t="str">
        <x:v>ProcessType.LCI_RESULT</x:v>
      </x:c>
      <x:c r="F21" s="36" t="str"/>
      <x:c r="G21" s="36" t="str"/>
    </x:row>
    <x:row r="22">
      <x:c r="A22" s="36" t="str">
        <x:v>Electricity Mix, consumption mix, at consumer, AC, 1kV - 60kV | EU-27 | 0a1b40db</x:v>
      </x:c>
      <x:c r="B22" s="36" t="str">
        <x:v>0a1b40db-5645-4db8-a887-eb09300b7b74</x:v>
      </x:c>
      <x:c r="C22" s="36" t="str">
        <x:v>Electricity Mix, consumption mix, at consumer, AC, 1kV - 60kV</x:v>
      </x:c>
      <x:c r="D22" s="36" t="str">
        <x:v>EU-27</x:v>
      </x:c>
      <x:c r="E22" s="36" t="str">
        <x:v>ProcessType.LCI_RESULT</x:v>
      </x:c>
      <x:c r="F22" s="36" t="str"/>
      <x:c r="G22" s="36" t="str"/>
    </x:row>
    <x:row r="23">
      <x:c r="A23" s="36" t="str">
        <x:v>Process steam from Heavy fuel oil 90 %, consumption mix, at power plant, heat plant, MJ, 90 % efficiency | SI | 0a33548a</x:v>
      </x:c>
      <x:c r="B23" s="36" t="str">
        <x:v>0a33548a-0908-448d-bdbf-596943ad0070</x:v>
      </x:c>
      <x:c r="C23" s="36" t="str">
        <x:v>Process steam from Heavy fuel oil 90 %, consumption mix, at power plant, heat plant, MJ, 90 % efficiency</x:v>
      </x:c>
      <x:c r="D23" s="36" t="str">
        <x:v>SI</x:v>
      </x:c>
      <x:c r="E23" s="36" t="str">
        <x:v>ProcessType.LCI_RESULT</x:v>
      </x:c>
      <x:c r="F23" s="36" t="str"/>
      <x:c r="G23" s="36" t="str"/>
    </x:row>
    <x:row r="24">
      <x:c r="A24" s="36" t="str">
        <x:v>Electricity grid mix 1kV-60kV, consumption mix, at consumer, AC, 1kV - 60kV | CY | 0bd3aec8</x:v>
      </x:c>
      <x:c r="B24" s="36" t="str">
        <x:v>0bd3aec8-286b-466f-868c-87917428450c</x:v>
      </x:c>
      <x:c r="C24" s="36" t="str">
        <x:v>Electricity grid mix 1kV-60kV, consumption mix, at consumer, AC, 1kV - 60kV</x:v>
      </x:c>
      <x:c r="D24" s="36" t="str">
        <x:v>CY</x:v>
      </x:c>
      <x:c r="E24" s="36" t="str">
        <x:v>ProcessType.LCI_RESULT</x:v>
      </x:c>
      <x:c r="F24" s="36" t="str"/>
      <x:c r="G24" s="36" t="str"/>
    </x:row>
    <x:row r="25">
      <x:c r="A25" s="36" t="str">
        <x:v>Electricity grid mix 1kV-60kV, consumption mix, at consumer, AC, 1kV - 60kV | EE | 0c9b2e27</x:v>
      </x:c>
      <x:c r="B25" s="36" t="str">
        <x:v>0c9b2e27-57fe-4e75-9058-d42b8477fa1d</x:v>
      </x:c>
      <x:c r="C25" s="36" t="str">
        <x:v>Electricity grid mix 1kV-60kV, consumption mix, at consumer, AC, 1kV - 60kV</x:v>
      </x:c>
      <x:c r="D25" s="36" t="str">
        <x:v>EE</x:v>
      </x:c>
      <x:c r="E25" s="36" t="str">
        <x:v>ProcessType.LCI_RESULT</x:v>
      </x:c>
      <x:c r="F25" s="36" t="str"/>
      <x:c r="G25" s="36" t="str"/>
    </x:row>
    <x:row r="26">
      <x:c r="A26" s="36" t="str">
        <x:v>Process steam from natural gas, consumption mix, at plant, heat plant, MJ | SI | 0cbf76cc</x:v>
      </x:c>
      <x:c r="B26" s="36" t="str">
        <x:v>0cbf76cc-0192-4617-acd3-0fdb3cecf6c7</x:v>
      </x:c>
      <x:c r="C26" s="36" t="str">
        <x:v>Process steam from natural gas, consumption mix, at plant, heat plant, MJ</x:v>
      </x:c>
      <x:c r="D26" s="36" t="str">
        <x:v>SI</x:v>
      </x:c>
      <x:c r="E26" s="36" t="str">
        <x:v>ProcessType.LCI_RESULT</x:v>
      </x:c>
      <x:c r="F26" s="36" t="str"/>
      <x:c r="G26" s="36" t="str"/>
    </x:row>
    <x:row r="27">
      <x:c r="A27" s="36" t="str">
        <x:v>Process steam from Light fuel oil 90 %, consumption mix, at power plant, heat plant, MJ, 90 % efficiency | CH | 0d5746cd</x:v>
      </x:c>
      <x:c r="B27" s="36" t="str">
        <x:v>0d5746cd-6865-4970-8306-d3921bde6a07</x:v>
      </x:c>
      <x:c r="C27" s="36" t="str">
        <x:v>Process steam from Light fuel oil 90 %, consumption mix, at power plant, heat plant, MJ, 90 % efficiency</x:v>
      </x:c>
      <x:c r="D27" s="36" t="str">
        <x:v>CH</x:v>
      </x:c>
      <x:c r="E27" s="36" t="str">
        <x:v>ProcessType.LCI_RESULT</x:v>
      </x:c>
      <x:c r="F27" s="36" t="str"/>
      <x:c r="G27" s="36" t="str"/>
    </x:row>
    <x:row r="28">
      <x:c r="A28" s="36" t="str">
        <x:v>Process steam from Heavy fuel oil 90 %, consumption mix, at power plant, heat plant, MJ, 90 % efficiency | GR | 0d6065af</x:v>
      </x:c>
      <x:c r="B28" s="36" t="str">
        <x:v>0d6065af-078a-418c-bf19-6760376f1765</x:v>
      </x:c>
      <x:c r="C28" s="36" t="str">
        <x:v>Process steam from Heavy fuel oil 90 %, consumption mix, at power plant, heat plant, MJ, 90 % efficiency</x:v>
      </x:c>
      <x:c r="D28" s="36" t="str">
        <x:v>GR</x:v>
      </x:c>
      <x:c r="E28" s="36" t="str">
        <x:v>ProcessType.LCI_RESULT</x:v>
      </x:c>
      <x:c r="F28" s="36" t="str"/>
      <x:c r="G28" s="36" t="str"/>
    </x:row>
    <x:row r="29">
      <x:c r="A29" s="36" t="str">
        <x:v>PCC dry, Production at plant, Precipitated Calcium Carbonate (PCC) - dry, uncoated, with a CaCO3 content of 98% or more, a median particle size ranging typically from 1 to 3 µm, ready to be shipped either in bulk or bags. Production at plant., None | RER | 0d703908</x:v>
      </x:c>
      <x:c r="B29" s="36" t="str">
        <x:v>0d703908-42f0-4669-87b5-69061d426797</x:v>
      </x:c>
      <x:c r="C29" s="36" t="str">
        <x:v>PCC dry, Production at plant, Precipitated Calcium Carbonate (PCC) - dry, uncoated, with a CaCO3 content of 98% or more, a median particle size ranging typically from 1 to 3 µm, ready to be shipped either in bulk or bags. Production at plant., None</x:v>
      </x:c>
      <x:c r="D29" s="36" t="str">
        <x:v>RER</x:v>
      </x:c>
      <x:c r="E29" s="36" t="str">
        <x:v>ProcessType.LCI_RESULT</x:v>
      </x:c>
      <x:c r="F29" s="36" t="str"/>
      <x:c r="G29" s="36" t="str"/>
    </x:row>
    <x:row r="30">
      <x:c r="A30" s="36" t="str">
        <x:v>Electricity Mix, consumption mix, at consumer, AC, 220V | EE | 0d87bcf9</x:v>
      </x:c>
      <x:c r="B30" s="36" t="str">
        <x:v>0d87bcf9-cbe5-4df9-8715-659f71c6e288</x:v>
      </x:c>
      <x:c r="C30" s="36" t="str">
        <x:v>Electricity Mix, consumption mix, at consumer, AC, 220V</x:v>
      </x:c>
      <x:c r="D30" s="36" t="str">
        <x:v>EE</x:v>
      </x:c>
      <x:c r="E30" s="36" t="str">
        <x:v>ProcessType.LCI_RESULT</x:v>
      </x:c>
      <x:c r="F30" s="36" t="str"/>
      <x:c r="G30" s="36" t="str"/>
    </x:row>
    <x:row r="31">
      <x:c r="A31" s="36" t="str">
        <x:v>Polypropylene granulate (PP), production mix, at plant | RER | 0dc3d65b</x:v>
      </x:c>
      <x:c r="B31" s="36" t="str">
        <x:v>0dc3d65b-7ff8-4c92-a694-748fb28070a9</x:v>
      </x:c>
      <x:c r="C31" s="36" t="str">
        <x:v>Polypropylene granulate (PP), production mix, at plant</x:v>
      </x:c>
      <x:c r="D31" s="36" t="str">
        <x:v>RER</x:v>
      </x:c>
      <x:c r="E31" s="36" t="str">
        <x:v>ProcessType.LCI_RESULT</x:v>
      </x:c>
      <x:c r="F31" s="36" t="str"/>
      <x:c r="G31" s="36" t="str"/>
    </x:row>
    <x:row r="32">
      <x:c r="A32" s="36" t="str">
        <x:v>Process steam from light fuel oil, consumption mix, at plant, heat plant, MJ | HU | 0dded263</x:v>
      </x:c>
      <x:c r="B32" s="36" t="str">
        <x:v>0dded263-a4ba-4a5b-8aea-2c4844cca498</x:v>
      </x:c>
      <x:c r="C32" s="36" t="str">
        <x:v>Process steam from light fuel oil, consumption mix, at plant, heat plant, MJ</x:v>
      </x:c>
      <x:c r="D32" s="36" t="str">
        <x:v>HU</x:v>
      </x:c>
      <x:c r="E32" s="36" t="str">
        <x:v>ProcessType.LCI_RESULT</x:v>
      </x:c>
      <x:c r="F32" s="36" t="str"/>
      <x:c r="G32" s="36" t="str"/>
    </x:row>
    <x:row r="33">
      <x:c r="A33" s="36" t="str">
        <x:v>Process steam from natural gas, consumption mix, at plant, heat plant, MJ | AT | 0deb15f0</x:v>
      </x:c>
      <x:c r="B33" s="36" t="str">
        <x:v>0deb15f0-518a-11dd-ae16-0800200c9a66</x:v>
      </x:c>
      <x:c r="C33" s="36" t="str">
        <x:v>Process steam from natural gas, consumption mix, at plant, heat plant, MJ</x:v>
      </x:c>
      <x:c r="D33" s="36" t="str">
        <x:v>AT</x:v>
      </x:c>
      <x:c r="E33" s="36" t="str">
        <x:v>ProcessType.LCI_RESULT</x:v>
      </x:c>
      <x:c r="F33" s="36" t="str"/>
      <x:c r="G33" s="36" t="str"/>
    </x:row>
    <x:row r="34">
      <x:c r="A34" s="36" t="str">
        <x:v>Electricity grid mix 1kV-60kV, consumption mix, at consumer, AC, 1kV - 60kV | SE | 0e1ac4e8</x:v>
      </x:c>
      <x:c r="B34" s="36" t="str">
        <x:v>0e1ac4e8-8ae8-4b49-ae23-9847ba1137b8</x:v>
      </x:c>
      <x:c r="C34" s="36" t="str">
        <x:v>Electricity grid mix 1kV-60kV, consumption mix, at consumer, AC, 1kV - 60kV</x:v>
      </x:c>
      <x:c r="D34" s="36" t="str">
        <x:v>SE</x:v>
      </x:c>
      <x:c r="E34" s="36" t="str">
        <x:v>ProcessType.LCI_RESULT</x:v>
      </x:c>
      <x:c r="F34" s="36" t="str"/>
      <x:c r="G34" s="36" t="str"/>
    </x:row>
    <x:row r="35">
      <x:c r="A35" s="36" t="str">
        <x:v>Process steam from light fuel oil, consumption mix, at plant, heat plant, MJ | ES | 0f23ccbd</x:v>
      </x:c>
      <x:c r="B35" s="36" t="str">
        <x:v>0f23ccbd-2c00-4894-ba15-da3957df2098</x:v>
      </x:c>
      <x:c r="C35" s="36" t="str">
        <x:v>Process steam from light fuel oil, consumption mix, at plant, heat plant, MJ</x:v>
      </x:c>
      <x:c r="D35" s="36" t="str">
        <x:v>ES</x:v>
      </x:c>
      <x:c r="E35" s="36" t="str">
        <x:v>ProcessType.LCI_RESULT</x:v>
      </x:c>
      <x:c r="F35" s="36" t="str"/>
      <x:c r="G35" s="36" t="str"/>
    </x:row>
    <x:row r="36">
      <x:c r="A36" s="36" t="str">
        <x:v>Process steam from natural gas 90%, consumption mix, at power plant, heat plant, MJ, 90 % efficiency | PL | 112667bf</x:v>
      </x:c>
      <x:c r="B36" s="36" t="str">
        <x:v>112667bf-22f3-44fe-b1a8-99e473dfdbc6</x:v>
      </x:c>
      <x:c r="C36" s="36" t="str">
        <x:v>Process steam from natural gas 90%, consumption mix, at power plant, heat plant, MJ, 90 % efficiency</x:v>
      </x:c>
      <x:c r="D36" s="36" t="str">
        <x:v>PL</x:v>
      </x:c>
      <x:c r="E36" s="36" t="str">
        <x:v>ProcessType.LCI_RESULT</x:v>
      </x:c>
      <x:c r="F36" s="36" t="str"/>
      <x:c r="G36" s="36" t="str"/>
    </x:row>
    <x:row r="37">
      <x:c r="A37" s="36" t="str">
        <x:v>Steel hot rolled coil, production mix, at plant, blast furnace route, thickness 2 to 7 mm, width 600 to 2100 mm | RER | 119e8cc1</x:v>
      </x:c>
      <x:c r="B37" s="36" t="str">
        <x:v>119e8cc1-0859-45ca-8f63-93a8a518ffd2</x:v>
      </x:c>
      <x:c r="C37" s="36" t="str">
        <x:v>Steel hot rolled coil, production mix, at plant, blast furnace route, thickness 2 to 7 mm, width 600 to 2100 mm</x:v>
      </x:c>
      <x:c r="D37" s="36" t="str">
        <x:v>RER</x:v>
      </x:c>
      <x:c r="E37" s="36" t="str">
        <x:v>ProcessType.LCI_RESULT</x:v>
      </x:c>
      <x:c r="F37" s="36" t="str"/>
      <x:c r="G37" s="36" t="str"/>
    </x:row>
    <x:row r="38">
      <x:c r="A38" s="36" t="str">
        <x:v>Electricity Mix, consumption mix, at consumer, AC, 1kV - 60kV | NL | 11ab0f24</x:v>
      </x:c>
      <x:c r="B38" s="36" t="str">
        <x:v>11ab0f24-1ecf-4842-b776-b19afc92333f</x:v>
      </x:c>
      <x:c r="C38" s="36" t="str">
        <x:v>Electricity Mix, consumption mix, at consumer, AC, 1kV - 60kV</x:v>
      </x:c>
      <x:c r="D38" s="36" t="str">
        <x:v>NL</x:v>
      </x:c>
      <x:c r="E38" s="36" t="str">
        <x:v>ProcessType.LCI_RESULT</x:v>
      </x:c>
      <x:c r="F38" s="36" t="str"/>
      <x:c r="G38" s="36" t="str"/>
    </x:row>
    <x:row r="39">
      <x:c r="A39" s="36" t="str">
        <x:v>Copper wire, consumption mix, at plant, technology mix, cross section 1 mmy | EU-15 | 11bceac4</x:v>
      </x:c>
      <x:c r="B39" s="36" t="str">
        <x:v>11bceac4-b3d8-4048-8e80-b691ecd2c261</x:v>
      </x:c>
      <x:c r="C39" s="36" t="str">
        <x:v>Copper wire, consumption mix, at plant, technology mix, cross section 1 mmy</x:v>
      </x:c>
      <x:c r="D39" s="36" t="str">
        <x:v>EU-15</x:v>
      </x:c>
      <x:c r="E39" s="36" t="str">
        <x:v>ProcessType.LCI_RESULT</x:v>
      </x:c>
      <x:c r="F39" s="36" t="str"/>
      <x:c r="G39" s="36" t="str"/>
    </x:row>
    <x:row r="40">
      <x:c r="A40" s="36" t="str">
        <x:v>Lead sheet mix, production mix, at producer, technology mix, secondary | EU-27 | 11f67def</x:v>
      </x:c>
      <x:c r="B40" s="36" t="str">
        <x:v>11f67def-dc2a-4e74-bb4f-885610a9ae9c</x:v>
      </x:c>
      <x:c r="C40" s="36" t="str">
        <x:v>Lead sheet mix, production mix, at producer, technology mix, secondary</x:v>
      </x:c>
      <x:c r="D40" s="36" t="str">
        <x:v>EU-27</x:v>
      </x:c>
      <x:c r="E40" s="36" t="str">
        <x:v>ProcessType.LCI_RESULT</x:v>
      </x:c>
      <x:c r="F40" s="36" t="str"/>
      <x:c r="G40" s="36" t="str"/>
    </x:row>
    <x:row r="41">
      <x:c r="A41" s="36" t="str">
        <x:v>Electricity Mix, consumption mix, at consumer, AC, 1kV - 60kV | MT | 122978f4</x:v>
      </x:c>
      <x:c r="B41" s="36" t="str">
        <x:v>122978f4-0218-4b39-aa09-42d7cb14d4c5</x:v>
      </x:c>
      <x:c r="C41" s="36" t="str">
        <x:v>Electricity Mix, consumption mix, at consumer, AC, 1kV - 60kV</x:v>
      </x:c>
      <x:c r="D41" s="36" t="str">
        <x:v>MT</x:v>
      </x:c>
      <x:c r="E41" s="36" t="str">
        <x:v>ProcessType.LCI_RESULT</x:v>
      </x:c>
      <x:c r="F41" s="36" t="str"/>
      <x:c r="G41" s="36" t="str"/>
    </x:row>
    <x:row r="42">
      <x:c r="A42" s="36" t="str">
        <x:v>Electricity grid mix 1kV-60kV, consumption mix, at consumer, AC, 1kV - 60kV | CZ | 122b5032</x:v>
      </x:c>
      <x:c r="B42" s="36" t="str">
        <x:v>122b5032-1ece-45b3-bfce-69e49a819e22</x:v>
      </x:c>
      <x:c r="C42" s="36" t="str">
        <x:v>Electricity grid mix 1kV-60kV, consumption mix, at consumer, AC, 1kV - 60kV</x:v>
      </x:c>
      <x:c r="D42" s="36" t="str">
        <x:v>CZ</x:v>
      </x:c>
      <x:c r="E42" s="36" t="str">
        <x:v>ProcessType.LCI_RESULT</x:v>
      </x:c>
      <x:c r="F42" s="36" t="str"/>
      <x:c r="G42" s="36" t="str"/>
    </x:row>
    <x:row r="43">
      <x:c r="A43" s="36" t="str">
        <x:v>Polyvinylchloride resin (S-PVC), production mix, at plant, suspension polymerisation | RER | 129b8f8d</x:v>
      </x:c>
      <x:c r="B43" s="36" t="str">
        <x:v>129b8f8d-7667-41bc-91f4-421bfcdfc8c3</x:v>
      </x:c>
      <x:c r="C43" s="36" t="str">
        <x:v>Polyvinylchloride resin (S-PVC), production mix, at plant, suspension polymerisation</x:v>
      </x:c>
      <x:c r="D43" s="36" t="str">
        <x:v>RER</x:v>
      </x:c>
      <x:c r="E43" s="36" t="str">
        <x:v>ProcessType.LCI_RESULT</x:v>
      </x:c>
      <x:c r="F43" s="36" t="str"/>
      <x:c r="G43" s="36" t="str"/>
    </x:row>
    <x:row r="44">
      <x:c r="A44" s="36" t="str">
        <x:v>Process steam from Heavy fuel oil 90 %, consumption mix, at power plant, heat plant, MJ, 90 % efficiency | DE | 12a29842</x:v>
      </x:c>
      <x:c r="B44" s="36" t="str">
        <x:v>12a29842-81fb-4694-ac26-64020ff0ae7b</x:v>
      </x:c>
      <x:c r="C44" s="36" t="str">
        <x:v>Process steam from Heavy fuel oil 90 %, consumption mix, at power plant, heat plant, MJ, 90 % efficiency</x:v>
      </x:c>
      <x:c r="D44" s="36" t="str">
        <x:v>DE</x:v>
      </x:c>
      <x:c r="E44" s="36" t="str">
        <x:v>ProcessType.LCI_RESULT</x:v>
      </x:c>
      <x:c r="F44" s="36" t="str"/>
      <x:c r="G44" s="36" t="str"/>
    </x:row>
    <x:row r="45">
      <x:c r="A45" s="36" t="str">
        <x:v>Copper sheet; technology mix; market mix, at plant; 0,6 mm thickness, Technology and Market Mix for Sheet fabrication representing main European production countries, Market Mix for Copper cathode in Europe (primary and secondary Cu cathode production... | EU-25 | 1323a7e6</x:v>
      </x:c>
      <x:c r="B45" s="36" t="str">
        <x:v>1323a7e6-7841-47db-8da1-06355432a908</x:v>
      </x:c>
      <x:c r="C45" s="36" t="str">
        <x:v>Copper sheet; technology mix; market mix, at plant; 0,6 mm thickness, Technology and Market Mix for Sheet fabrication representing main European production countries, Market Mix for Copper cathode in Europe (primary and secondary Cu cathode production...</x:v>
      </x:c>
      <x:c r="D45" s="36" t="str">
        <x:v>EU-25</x:v>
      </x:c>
      <x:c r="E45" s="36" t="str">
        <x:v>ProcessType.LCI_RESULT</x:v>
      </x:c>
      <x:c r="F45" s="36" t="str"/>
      <x:c r="G45" s="36" t="str"/>
    </x:row>
    <x:row r="46">
      <x:c r="A46" s="36" t="str">
        <x:v>Process steam from Light fuel oil 90 %, consumption mix, at power plant, heat plant, MJ, 90 % efficiency | AT | 13587de8</x:v>
      </x:c>
      <x:c r="B46" s="36" t="str">
        <x:v>13587de8-fda4-4637-9568-6634ed1b24c4</x:v>
      </x:c>
      <x:c r="C46" s="36" t="str">
        <x:v>Process steam from Light fuel oil 90 %, consumption mix, at power plant, heat plant, MJ, 90 % efficiency</x:v>
      </x:c>
      <x:c r="D46" s="36" t="str">
        <x:v>AT</x:v>
      </x:c>
      <x:c r="E46" s="36" t="str">
        <x:v>ProcessType.LCI_RESULT</x:v>
      </x:c>
      <x:c r="F46" s="36" t="str"/>
      <x:c r="G46" s="36" t="str"/>
    </x:row>
    <x:row r="47">
      <x:c r="A47" s="36" t="str">
        <x:v>Lead primary and secondary mix , production mix, at producer, technology mix, primary 46% /  secondary 54% | EU-27 | 137f2286</x:v>
      </x:c>
      <x:c r="B47" s="36" t="str">
        <x:v>137f2286-e426-4231-b65d-e65503fa6e5c</x:v>
      </x:c>
      <x:c r="C47" s="36" t="str">
        <x:v>Lead primary and secondary mix , production mix, at producer, technology mix, primary 46% /  secondary 54%</x:v>
      </x:c>
      <x:c r="D47" s="36" t="str">
        <x:v>EU-27</x:v>
      </x:c>
      <x:c r="E47" s="36" t="str">
        <x:v>ProcessType.LCI_RESULT</x:v>
      </x:c>
      <x:c r="F47" s="36" t="str"/>
      <x:c r="G47" s="36" t="str"/>
    </x:row>
    <x:row r="48">
      <x:c r="A48" s="36" t="str">
        <x:v>Process steam from natural gas 90%, consumption mix, at power plant, heat plant, MJ, 90 % efficiency | GR | 14565ba0</x:v>
      </x:c>
      <x:c r="B48" s="36" t="str">
        <x:v>14565ba0-86fb-4779-99a9-bbf4d6dc4bfe</x:v>
      </x:c>
      <x:c r="C48" s="36" t="str">
        <x:v>Process steam from natural gas 90%, consumption mix, at power plant, heat plant, MJ, 90 % efficiency</x:v>
      </x:c>
      <x:c r="D48" s="36" t="str">
        <x:v>GR</x:v>
      </x:c>
      <x:c r="E48" s="36" t="str">
        <x:v>ProcessType.LCI_RESULT</x:v>
      </x:c>
      <x:c r="F48" s="36" t="str"/>
      <x:c r="G48" s="36" t="str"/>
    </x:row>
    <x:row r="49">
      <x:c r="A49" s="36" t="str">
        <x:v>Copper sheet, consumption mix, at plant, technology mix, 0,6 mm thickness | EU-15 | 14712dc3</x:v>
      </x:c>
      <x:c r="B49" s="36" t="str">
        <x:v>14712dc3-ca9f-4032-aed2-2e5f449c13cb</x:v>
      </x:c>
      <x:c r="C49" s="36" t="str">
        <x:v>Copper sheet, consumption mix, at plant, technology mix, 0,6 mm thickness</x:v>
      </x:c>
      <x:c r="D49" s="36" t="str">
        <x:v>EU-15</x:v>
      </x:c>
      <x:c r="E49" s="36" t="str">
        <x:v>ProcessType.LCI_RESULT</x:v>
      </x:c>
      <x:c r="F49" s="36" t="str"/>
      <x:c r="G49" s="36" t="str"/>
    </x:row>
    <x:row r="50">
      <x:c r="A50" s="36" t="str">
        <x:v>Waste incineration of plastics (Nylon 6, Nylon 66, PAN), at plant, average European waste-to-energy plant, without collection, transport and pre-treatment | EU-27 | 14d74618</x:v>
      </x:c>
      <x:c r="B50" s="36" t="str">
        <x:v>14d74618-44f7-40d7-8b35-4364e23c76bb</x:v>
      </x:c>
      <x:c r="C50" s="36" t="str">
        <x:v>Waste incineration of plastics (Nylon 6, Nylon 66, PAN), at plant, average European waste-to-energy plant, without collection, transport and pre-treatment</x:v>
      </x:c>
      <x:c r="D50" s="36" t="str">
        <x:v>EU-27</x:v>
      </x:c>
      <x:c r="E50" s="36" t="str">
        <x:v>ProcessType.LCI_RESULT</x:v>
      </x:c>
      <x:c r="F50" s="36" t="str"/>
      <x:c r="G50" s="36" t="str"/>
    </x:row>
    <x:row r="51">
      <x:c r="A51" s="36" t="str">
        <x:v>GCC dry, Production at plant, Ground Calcium Carbonate (GCC) - dry, uncoated, with a CaCO3 content of 98% or more, a median particle size ranging typically from 2.5 to 5 µm, ready to be shipped in bulk. Production at plant., None | RER | 14db2998</x:v>
      </x:c>
      <x:c r="B51" s="36" t="str">
        <x:v>14db2998-ff19-45e6-9951-f5bd9ae8c149</x:v>
      </x:c>
      <x:c r="C51" s="36" t="str">
        <x:v>GCC dry, Production at plant, Ground Calcium Carbonate (GCC) - dry, uncoated, with a CaCO3 content of 98% or more, a median particle size ranging typically from 2.5 to 5 µm, ready to be shipped in bulk. Production at plant., None</x:v>
      </x:c>
      <x:c r="D51" s="36" t="str">
        <x:v>RER</x:v>
      </x:c>
      <x:c r="E51" s="36" t="str">
        <x:v>ProcessType.LCI_RESULT</x:v>
      </x:c>
      <x:c r="F51" s="36" t="str"/>
      <x:c r="G51" s="36" t="str"/>
    </x:row>
    <x:row r="52">
      <x:c r="A52" s="36" t="str">
        <x:v>Electricity Mix, consumption mix, at consumer, AC, 220V | SI | 155a3c36</x:v>
      </x:c>
      <x:c r="B52" s="36" t="str">
        <x:v>155a3c36-6185-4a54-bea8-87bcad6727f8</x:v>
      </x:c>
      <x:c r="C52" s="36" t="str">
        <x:v>Electricity Mix, consumption mix, at consumer, AC, 220V</x:v>
      </x:c>
      <x:c r="D52" s="36" t="str">
        <x:v>SI</x:v>
      </x:c>
      <x:c r="E52" s="36" t="str">
        <x:v>ProcessType.LCI_RESULT</x:v>
      </x:c>
      <x:c r="F52" s="36" t="str"/>
      <x:c r="G52" s="36" t="str"/>
    </x:row>
    <x:row r="53">
      <x:c r="A53" s="36" t="str">
        <x:v>Electricity Mix, consumption mix, at consumer, AC, 220V | PL | 1598ea72</x:v>
      </x:c>
      <x:c r="B53" s="36" t="str">
        <x:v>1598ea72-ae02-42fc-ae87-7dbe90df17ce</x:v>
      </x:c>
      <x:c r="C53" s="36" t="str">
        <x:v>Electricity Mix, consumption mix, at consumer, AC, 220V</x:v>
      </x:c>
      <x:c r="D53" s="36" t="str">
        <x:v>PL</x:v>
      </x:c>
      <x:c r="E53" s="36" t="str">
        <x:v>ProcessType.LCI_RESULT</x:v>
      </x:c>
      <x:c r="F53" s="36" t="str"/>
      <x:c r="G53" s="36" t="str"/>
    </x:row>
    <x:row r="54">
      <x:c r="A54" s="36" t="str">
        <x:v>Process steam from light fuel oil, consumption mix, at plant, heat plant, MJ | FR | 15a3957d</x:v>
      </x:c>
      <x:c r="B54" s="36" t="str">
        <x:v>15a3957d-ce14-404a-b1f6-792a71edeed0</x:v>
      </x:c>
      <x:c r="C54" s="36" t="str">
        <x:v>Process steam from light fuel oil, consumption mix, at plant, heat plant, MJ</x:v>
      </x:c>
      <x:c r="D54" s="36" t="str">
        <x:v>FR</x:v>
      </x:c>
      <x:c r="E54" s="36" t="str">
        <x:v>ProcessType.LCI_RESULT</x:v>
      </x:c>
      <x:c r="F54" s="36" t="str"/>
      <x:c r="G54" s="36" t="str"/>
    </x:row>
    <x:row r="55">
      <x:c r="A55" s="36" t="str">
        <x:v>Barge, technology mix, 1.228 t pay load capacity | GLO | 16f7c5d9</x:v>
      </x:c>
      <x:c r="B55" s="36" t="str">
        <x:v>16f7c5d9-e19e-4185-85df-da289bc67f79</x:v>
      </x:c>
      <x:c r="C55" s="36" t="str">
        <x:v>Barge, technology mix, 1.228 t pay load capacity</x:v>
      </x:c>
      <x:c r="D55" s="36" t="str">
        <x:v>GLO</x:v>
      </x:c>
      <x:c r="E55" s="36" t="str">
        <x:v>ProcessType.UNIT_PROCESS</x:v>
      </x:c>
      <x:c r="F55" s="36" t="str"/>
      <x:c r="G55" s="36" t="str"/>
    </x:row>
    <x:row r="56">
      <x:c r="A56" s="36" t="str">
        <x:v>Process steam from light fuel oil, consumption mix, at plant, heat plant, MJ | DE | 1709667f</x:v>
      </x:c>
      <x:c r="B56" s="36" t="str">
        <x:v>1709667f-24d8-4eb9-a361-a0c85ac65d85</x:v>
      </x:c>
      <x:c r="C56" s="36" t="str">
        <x:v>Process steam from light fuel oil, consumption mix, at plant, heat plant, MJ</x:v>
      </x:c>
      <x:c r="D56" s="36" t="str">
        <x:v>DE</x:v>
      </x:c>
      <x:c r="E56" s="36" t="str">
        <x:v>ProcessType.LCI_RESULT</x:v>
      </x:c>
      <x:c r="F56" s="36" t="str"/>
      <x:c r="G56" s="36" t="str"/>
    </x:row>
    <x:row r="57">
      <x:c r="A57" s="36" t="str">
        <x:v>Process steam from Heavy fuel oil 90 %, consumption mix, at power plant, heat plant, MJ, 90 % efficiency | EE | 1917c9a8</x:v>
      </x:c>
      <x:c r="B57" s="36" t="str">
        <x:v>1917c9a8-fd01-44b5-9b42-4f7b51f57f55</x:v>
      </x:c>
      <x:c r="C57" s="36" t="str">
        <x:v>Process steam from Heavy fuel oil 90 %, consumption mix, at power plant, heat plant, MJ, 90 % efficiency</x:v>
      </x:c>
      <x:c r="D57" s="36" t="str">
        <x:v>EE</x:v>
      </x:c>
      <x:c r="E57" s="36" t="str">
        <x:v>ProcessType.LCI_RESULT</x:v>
      </x:c>
      <x:c r="F57" s="36" t="str"/>
      <x:c r="G57" s="36" t="str"/>
    </x:row>
    <x:row r="58">
      <x:c r="A58" s="36" t="str">
        <x:v>Waste water treatment, at waste water treatment plant, domestic waste water according to the Directive 91/271/EEC concerning urban waste water treatment | EU-27 | 19728650</x:v>
      </x:c>
      <x:c r="B58" s="36" t="str">
        <x:v>19728650-4cf4-11dd-ae16-0800200c9a66</x:v>
      </x:c>
      <x:c r="C58" s="36" t="str">
        <x:v>Waste water treatment, at waste water treatment plant, domestic waste water according to the Directive 91/271/EEC concerning urban waste water treatment</x:v>
      </x:c>
      <x:c r="D58" s="36" t="str">
        <x:v>EU-27</x:v>
      </x:c>
      <x:c r="E58" s="36" t="str">
        <x:v>ProcessType.LCI_RESULT</x:v>
      </x:c>
      <x:c r="F58" s="36" t="str"/>
      <x:c r="G58" s="36" t="str"/>
    </x:row>
    <x:row r="59">
      <x:c r="A59" s="36" t="str">
        <x:v>Plane, technology mix, cargo, 68 t payload | GLO | 1a7da06d</x:v>
      </x:c>
      <x:c r="B59" s="36" t="str">
        <x:v>1a7da06d-e8b7-4ff1-920c-209e9009dbe0</x:v>
      </x:c>
      <x:c r="C59" s="36" t="str">
        <x:v>Plane, technology mix, cargo, 68 t payload</x:v>
      </x:c>
      <x:c r="D59" s="36" t="str">
        <x:v>GLO</x:v>
      </x:c>
      <x:c r="E59" s="36" t="str">
        <x:v>ProcessType.UNIT_PROCESS</x:v>
      </x:c>
      <x:c r="F59" s="36" t="str"/>
      <x:c r="G59" s="36" t="str"/>
    </x:row>
    <x:row r="60">
      <x:c r="A60" s="36" t="str">
        <x:v>Process steam from heavy fuel oil, consumption mix, at plant, heat plant, MJ | RO | 1cf05b65</x:v>
      </x:c>
      <x:c r="B60" s="36" t="str">
        <x:v>1cf05b65-43c2-493c-9629-0ab468bc6bf4</x:v>
      </x:c>
      <x:c r="C60" s="36" t="str">
        <x:v>Process steam from heavy fuel oil, consumption mix, at plant, heat plant, MJ</x:v>
      </x:c>
      <x:c r="D60" s="36" t="str">
        <x:v>RO</x:v>
      </x:c>
      <x:c r="E60" s="36" t="str">
        <x:v>ProcessType.LCI_RESULT</x:v>
      </x:c>
      <x:c r="F60" s="36" t="str"/>
      <x:c r="G60" s="36" t="str"/>
    </x:row>
    <x:row r="61">
      <x:c r="A61" s="36" t="str">
        <x:v>Process steam from light fuel oil, consumption mix, at plant, heat plant, MJ | BE | 1d18b022</x:v>
      </x:c>
      <x:c r="B61" s="36" t="str">
        <x:v>1d18b022-468b-45af-8b99-9fb095a33cc0</x:v>
      </x:c>
      <x:c r="C61" s="36" t="str">
        <x:v>Process steam from light fuel oil, consumption mix, at plant, heat plant, MJ</x:v>
      </x:c>
      <x:c r="D61" s="36" t="str">
        <x:v>BE</x:v>
      </x:c>
      <x:c r="E61" s="36" t="str">
        <x:v>ProcessType.LCI_RESULT</x:v>
      </x:c>
      <x:c r="F61" s="36" t="str"/>
      <x:c r="G61" s="36" t="str"/>
    </x:row>
    <x:row r="62">
      <x:c r="A62" s="36" t="str">
        <x:v>Process steam from light fuel oil, consumption mix, at plant, heat plant, MJ | PT | 1d9ec850</x:v>
      </x:c>
      <x:c r="B62" s="36" t="str">
        <x:v>1d9ec850-ef1f-498c-9208-acf0a7f02379</x:v>
      </x:c>
      <x:c r="C62" s="36" t="str">
        <x:v>Process steam from light fuel oil, consumption mix, at plant, heat plant, MJ</x:v>
      </x:c>
      <x:c r="D62" s="36" t="str">
        <x:v>PT</x:v>
      </x:c>
      <x:c r="E62" s="36" t="str">
        <x:v>ProcessType.LCI_RESULT</x:v>
      </x:c>
      <x:c r="F62" s="36" t="str"/>
      <x:c r="G62" s="36" t="str"/>
    </x:row>
    <x:row r="63">
      <x:c r="A63" s="36" t="str">
        <x:v>Electricity Mix, consumption mix, at consumer, AC, 230V | NO | 1e17b418</x:v>
      </x:c>
      <x:c r="B63" s="36" t="str">
        <x:v>1e17b418-defe-4d75-87ec-9c0d8a398859</x:v>
      </x:c>
      <x:c r="C63" s="36" t="str">
        <x:v>Electricity Mix, consumption mix, at consumer, AC, 230V</x:v>
      </x:c>
      <x:c r="D63" s="36" t="str">
        <x:v>NO</x:v>
      </x:c>
      <x:c r="E63" s="36" t="str">
        <x:v>ProcessType.LCI_RESULT</x:v>
      </x:c>
      <x:c r="F63" s="36" t="str"/>
      <x:c r="G63" s="36" t="str"/>
    </x:row>
    <x:row r="64">
      <x:c r="A64" s="36" t="str">
        <x:v>Diesel mix at refinery, production mix, at refinery, from crude oil and bio components, fuel supply, 10 ppm sulphur, 5.75 wt.% bio components | EU-27 | 1ea201ab</x:v>
      </x:c>
      <x:c r="B64" s="36" t="str">
        <x:v>1ea201ab-eec9-4356-93d8-3a4905ea35cd</x:v>
      </x:c>
      <x:c r="C64" s="36" t="str">
        <x:v>Diesel mix at refinery, production mix, at refinery, from crude oil and bio components, fuel supply, 10 ppm sulphur, 5.75 wt.% bio components</x:v>
      </x:c>
      <x:c r="D64" s="36" t="str">
        <x:v>EU-27</x:v>
      </x:c>
      <x:c r="E64" s="36" t="str">
        <x:v>ProcessType.LCI_RESULT</x:v>
      </x:c>
      <x:c r="F64" s="36" t="str"/>
      <x:c r="G64" s="36" t="str"/>
    </x:row>
    <x:row r="65">
      <x:c r="A65" s="36" t="str">
        <x:v>Process steam from light fuel oil, consumption mix, at plant, heat plant, MJ | IE | 1eb2b423</x:v>
      </x:c>
      <x:c r="B65" s="36" t="str">
        <x:v>1eb2b423-53be-4937-95be-8b4a69b6b9ad</x:v>
      </x:c>
      <x:c r="C65" s="36" t="str">
        <x:v>Process steam from light fuel oil, consumption mix, at plant, heat plant, MJ</x:v>
      </x:c>
      <x:c r="D65" s="36" t="str">
        <x:v>IE</x:v>
      </x:c>
      <x:c r="E65" s="36" t="str">
        <x:v>ProcessType.LCI_RESULT</x:v>
      </x:c>
      <x:c r="F65" s="36" t="str"/>
      <x:c r="G65" s="36" t="str"/>
    </x:row>
    <x:row r="66">
      <x:c r="A66" s="36" t="str">
        <x:v>Process steam from natural gas 90%, consumption mix, at power plant, heat plant, MJ, 90 % efficiency | BG | 1f0bc2c2</x:v>
      </x:c>
      <x:c r="B66" s="36" t="str">
        <x:v>1f0bc2c2-8adc-42f1-9f75-5ffc27ff3f2b</x:v>
      </x:c>
      <x:c r="C66" s="36" t="str">
        <x:v>Process steam from natural gas 90%, consumption mix, at power plant, heat plant, MJ, 90 % efficiency</x:v>
      </x:c>
      <x:c r="D66" s="36" t="str">
        <x:v>BG</x:v>
      </x:c>
      <x:c r="E66" s="36" t="str">
        <x:v>ProcessType.LCI_RESULT</x:v>
      </x:c>
      <x:c r="F66" s="36" t="str"/>
      <x:c r="G66" s="36" t="str"/>
    </x:row>
    <x:row r="67">
      <x:c r="A67" s="36" t="str">
        <x:v>Process steam from Heavy fuel oil 90 %, consumption mix, at power plant, heat plant, MJ, 90 % efficiency | CZ | 1f6fcd79</x:v>
      </x:c>
      <x:c r="B67" s="36" t="str">
        <x:v>1f6fcd79-bf76-4f57-95ac-b70b31167ef5</x:v>
      </x:c>
      <x:c r="C67" s="36" t="str">
        <x:v>Process steam from Heavy fuel oil 90 %, consumption mix, at power plant, heat plant, MJ, 90 % efficiency</x:v>
      </x:c>
      <x:c r="D67" s="36" t="str">
        <x:v>CZ</x:v>
      </x:c>
      <x:c r="E67" s="36" t="str">
        <x:v>ProcessType.LCI_RESULT</x:v>
      </x:c>
      <x:c r="F67" s="36" t="str"/>
      <x:c r="G67" s="36" t="str"/>
    </x:row>
    <x:row r="68">
      <x:c r="A68" s="36" t="str">
        <x:v>Process steam from Light fuel oil 90 %, consumption mix, at power plant, heat plant, MJ, 90 % efficiency | CZ | 21e40d38</x:v>
      </x:c>
      <x:c r="B68" s="36" t="str">
        <x:v>21e40d38-6739-4fc0-811f-09b2962e88bd</x:v>
      </x:c>
      <x:c r="C68" s="36" t="str">
        <x:v>Process steam from Light fuel oil 90 %, consumption mix, at power plant, heat plant, MJ, 90 % efficiency</x:v>
      </x:c>
      <x:c r="D68" s="36" t="str">
        <x:v>CZ</x:v>
      </x:c>
      <x:c r="E68" s="36" t="str">
        <x:v>ProcessType.LCI_RESULT</x:v>
      </x:c>
      <x:c r="F68" s="36" t="str"/>
      <x:c r="G68" s="36" t="str"/>
    </x:row>
    <x:row r="69">
      <x:c r="A69" s="36" t="str">
        <x:v>Electricity Mix, consumption mix, at consumer, AC, 125-220V | IT | 22b890c0</x:v>
      </x:c>
      <x:c r="B69" s="36" t="str">
        <x:v>22b890c0-bd7b-47e4-b3a0-d4010c084cf5</x:v>
      </x:c>
      <x:c r="C69" s="36" t="str">
        <x:v>Electricity Mix, consumption mix, at consumer, AC, 125-220V</x:v>
      </x:c>
      <x:c r="D69" s="36" t="str">
        <x:v>IT</x:v>
      </x:c>
      <x:c r="E69" s="36" t="str">
        <x:v>ProcessType.LCI_RESULT</x:v>
      </x:c>
      <x:c r="F69" s="36" t="str"/>
      <x:c r="G69" s="36" t="str"/>
    </x:row>
    <x:row r="70">
      <x:c r="A70" s="36" t="str">
        <x:v>Process steam from natural gas 90%, consumption mix, at power plant, heat plant, MJ, 90 % efficiency | AT | 24442808</x:v>
      </x:c>
      <x:c r="B70" s="36" t="str">
        <x:v>24442808-d201-4341-8bfa-f917072a0b9d</x:v>
      </x:c>
      <x:c r="C70" s="36" t="str">
        <x:v>Process steam from natural gas 90%, consumption mix, at power plant, heat plant, MJ, 90 % efficiency</x:v>
      </x:c>
      <x:c r="D70" s="36" t="str">
        <x:v>AT</x:v>
      </x:c>
      <x:c r="E70" s="36" t="str">
        <x:v>ProcessType.LCI_RESULT</x:v>
      </x:c>
      <x:c r="F70" s="36" t="str"/>
      <x:c r="G70" s="36" t="str"/>
    </x:row>
    <x:row r="71">
      <x:c r="A71" s="36" t="str">
        <x:v>Diesel, consumption mix, at refinery, from crude oil, 200 ppm sulphur | EU-15 | 244524ed</x:v>
      </x:c>
      <x:c r="B71" s="36" t="str">
        <x:v>244524ed-7b85-4548-b345-f58dc5cf9dac</x:v>
      </x:c>
      <x:c r="C71" s="36" t="str">
        <x:v>Diesel, consumption mix, at refinery, from crude oil, 200 ppm sulphur</x:v>
      </x:c>
      <x:c r="D71" s="36" t="str">
        <x:v>EU-15</x:v>
      </x:c>
      <x:c r="E71" s="36" t="str">
        <x:v>ProcessType.LCI_RESULT</x:v>
      </x:c>
      <x:c r="F71" s="36" t="str"/>
      <x:c r="G71" s="36" t="str"/>
    </x:row>
    <x:row r="72">
      <x:c r="A72" s="36" t="str">
        <x:v>Process steam from Heavy fuel oil 90 %, consumption mix, at power plant, heat plant, MJ, 90 % efficiency | NO | 2551a016</x:v>
      </x:c>
      <x:c r="B72" s="36" t="str">
        <x:v>2551a016-b83e-4e61-9110-8f59e8f02cc7</x:v>
      </x:c>
      <x:c r="C72" s="36" t="str">
        <x:v>Process steam from Heavy fuel oil 90 %, consumption mix, at power plant, heat plant, MJ, 90 % efficiency</x:v>
      </x:c>
      <x:c r="D72" s="36" t="str">
        <x:v>NO</x:v>
      </x:c>
      <x:c r="E72" s="36" t="str">
        <x:v>ProcessType.LCI_RESULT</x:v>
      </x:c>
      <x:c r="F72" s="36" t="str"/>
      <x:c r="G72" s="36" t="str"/>
    </x:row>
    <x:row r="73">
      <x:c r="A73" s="36" t="str">
        <x:v>Electricity grid mix, consumption mix, at consumer, AC, 230V | SE | 25b4f06b</x:v>
      </x:c>
      <x:c r="B73" s="36" t="str">
        <x:v>25b4f06b-38fa-4b67-b127-ff91027393ae</x:v>
      </x:c>
      <x:c r="C73" s="36" t="str">
        <x:v>Electricity grid mix, consumption mix, at consumer, AC, 230V</x:v>
      </x:c>
      <x:c r="D73" s="36" t="str">
        <x:v>SE</x:v>
      </x:c>
      <x:c r="E73" s="36" t="str">
        <x:v>ProcessType.LCI_RESULT</x:v>
      </x:c>
      <x:c r="F73" s="36" t="str"/>
      <x:c r="G73" s="36" t="str"/>
    </x:row>
    <x:row r="74">
      <x:c r="A74" s="36" t="str">
        <x:v>Electricity Mix, consumption mix, at consumer, AC, 240V | CY | 25d4e2b2</x:v>
      </x:c>
      <x:c r="B74" s="36" t="str">
        <x:v>25d4e2b2-18a7-442f-9d15-40bfcb9f4cb2</x:v>
      </x:c>
      <x:c r="C74" s="36" t="str">
        <x:v>Electricity Mix, consumption mix, at consumer, AC, 240V</x:v>
      </x:c>
      <x:c r="D74" s="36" t="str">
        <x:v>CY</x:v>
      </x:c>
      <x:c r="E74" s="36" t="str">
        <x:v>ProcessType.LCI_RESULT</x:v>
      </x:c>
      <x:c r="F74" s="36" t="str"/>
      <x:c r="G74" s="36" t="str"/>
    </x:row>
    <x:row r="75">
      <x:c r="A75" s="36" t="str">
        <x:v>Steel rebar, production mix, at plant, blast furnace and electric arc furnace route, | GLO | 268a11fb</x:v>
      </x:c>
      <x:c r="B75" s="36" t="str">
        <x:v>268a11fb-baf2-4b9e-8867-38bea0e76ef6</x:v>
      </x:c>
      <x:c r="C75" s="36" t="str">
        <x:v>Steel rebar, production mix, at plant, blast furnace and electric arc furnace route,</x:v>
      </x:c>
      <x:c r="D75" s="36" t="str">
        <x:v>GLO</x:v>
      </x:c>
      <x:c r="E75" s="36" t="str">
        <x:v>ProcessType.LCI_RESULT</x:v>
      </x:c>
      <x:c r="F75" s="36" t="str"/>
      <x:c r="G75" s="36" t="str"/>
    </x:row>
    <x:row r="76">
      <x:c r="A76" s="36" t="str">
        <x:v>Process steam from natural gas, consumption mix, at plant, heat plant, MJ | RO | 278579f1</x:v>
      </x:c>
      <x:c r="B76" s="36" t="str">
        <x:v>278579f1-8f98-423c-adcc-70e0d780d827</x:v>
      </x:c>
      <x:c r="C76" s="36" t="str">
        <x:v>Process steam from natural gas, consumption mix, at plant, heat plant, MJ</x:v>
      </x:c>
      <x:c r="D76" s="36" t="str">
        <x:v>RO</x:v>
      </x:c>
      <x:c r="E76" s="36" t="str">
        <x:v>ProcessType.LCI_RESULT</x:v>
      </x:c>
      <x:c r="F76" s="36" t="str"/>
      <x:c r="G76" s="36" t="str"/>
    </x:row>
    <x:row r="77">
      <x:c r="A77" s="36" t="str">
        <x:v>Electricity grid mix 1kV-60kV, consumption mix, at consumer, AC, 1kV - 60kV | IT | 27cc76aa</x:v>
      </x:c>
      <x:c r="B77" s="36" t="str">
        <x:v>27cc76aa-c695-4632-a1d7-0d2d23001a0e</x:v>
      </x:c>
      <x:c r="C77" s="36" t="str">
        <x:v>Electricity grid mix 1kV-60kV, consumption mix, at consumer, AC, 1kV - 60kV</x:v>
      </x:c>
      <x:c r="D77" s="36" t="str">
        <x:v>IT</x:v>
      </x:c>
      <x:c r="E77" s="36" t="str">
        <x:v>ProcessType.LCI_RESULT</x:v>
      </x:c>
      <x:c r="F77" s="36" t="str"/>
      <x:c r="G77" s="36" t="str"/>
    </x:row>
    <x:row r="78">
      <x:c r="A78" s="36" t="str">
        <x:v>Plane, technology mix, cargo, 68 t payload | RER | 28b6ad2c</x:v>
      </x:c>
      <x:c r="B78" s="36" t="str">
        <x:v>28b6ad2c-e13e-4322-a443-771a7e7d16a2</x:v>
      </x:c>
      <x:c r="C78" s="36" t="str">
        <x:v>Plane, technology mix, cargo, 68 t payload</x:v>
      </x:c>
      <x:c r="D78" s="36" t="str">
        <x:v>RER</x:v>
      </x:c>
      <x:c r="E78" s="36" t="str">
        <x:v>ProcessType.LCI_RESULT</x:v>
      </x:c>
      <x:c r="F78" s="36" t="str"/>
      <x:c r="G78" s="36" t="str"/>
    </x:row>
    <x:row r="79">
      <x:c r="A79" s="36" t="str">
        <x:v>Process steam from light fuel oil, consumption mix, at plant, heat plant, MJ | FI | 2a5cb618</x:v>
      </x:c>
      <x:c r="B79" s="36" t="str">
        <x:v>2a5cb618-62d7-4b8a-a2eb-78c91e1362d2</x:v>
      </x:c>
      <x:c r="C79" s="36" t="str">
        <x:v>Process steam from light fuel oil, consumption mix, at plant, heat plant, MJ</x:v>
      </x:c>
      <x:c r="D79" s="36" t="str">
        <x:v>FI</x:v>
      </x:c>
      <x:c r="E79" s="36" t="str">
        <x:v>ProcessType.LCI_RESULT</x:v>
      </x:c>
      <x:c r="F79" s="36" t="str"/>
      <x:c r="G79" s="36" t="str"/>
    </x:row>
    <x:row r="80">
      <x:c r="A80" s="36" t="str">
        <x:v>Gypsum plaster (CaSO4 beta hemihydrates), production mix, at plant, technology mix of natural gypsum (45%) and gypsum from flue gas desulphurisation (55%), grinded and purified product | DE | 2abe6224</x:v>
      </x:c>
      <x:c r="B80" s="36" t="str">
        <x:v>2abe6224-3a58-4804-b6de-c1f249d0621a</x:v>
      </x:c>
      <x:c r="C80" s="36" t="str">
        <x:v>Gypsum plaster (CaSO4 beta hemihydrates), production mix, at plant, technology mix of natural gypsum (45%) and gypsum from flue gas desulphurisation (55%), grinded and purified product</x:v>
      </x:c>
      <x:c r="D80" s="36" t="str">
        <x:v>DE</x:v>
      </x:c>
      <x:c r="E80" s="36" t="str">
        <x:v>ProcessType.LCI_RESULT</x:v>
      </x:c>
      <x:c r="F80" s="36" t="str"/>
      <x:c r="G80" s="36" t="str"/>
    </x:row>
    <x:row r="81">
      <x:c r="A81" s="36" t="str">
        <x:v>Process steam from natural gas, consumption mix, at plant, heat plant, MJ | PT | 2b47bfb2</x:v>
      </x:c>
      <x:c r="B81" s="36" t="str">
        <x:v>2b47bfb2-1d7d-4cb7-9abe-f535d4cc72b0</x:v>
      </x:c>
      <x:c r="C81" s="36" t="str">
        <x:v>Process steam from natural gas, consumption mix, at plant, heat plant, MJ</x:v>
      </x:c>
      <x:c r="D81" s="36" t="str">
        <x:v>PT</x:v>
      </x:c>
      <x:c r="E81" s="36" t="str">
        <x:v>ProcessType.LCI_RESULT</x:v>
      </x:c>
      <x:c r="F81" s="36" t="str"/>
      <x:c r="G81" s="36" t="str"/>
    </x:row>
    <x:row r="82">
      <x:c r="A82" s="36" t="str">
        <x:v>Spruce wood, production mix, at saw mill, timber, 40% water content | DE | 2b61a4d6</x:v>
      </x:c>
      <x:c r="B82" s="36" t="str">
        <x:v>2b61a4d6-bd1d-4ea3-828c-fdbdf5fca1f9</x:v>
      </x:c>
      <x:c r="C82" s="36" t="str">
        <x:v>Spruce wood, production mix, at saw mill, timber, 40% water content</x:v>
      </x:c>
      <x:c r="D82" s="36" t="str">
        <x:v>DE</x:v>
      </x:c>
      <x:c r="E82" s="36" t="str">
        <x:v>ProcessType.LCI_RESULT</x:v>
      </x:c>
      <x:c r="F82" s="36" t="str"/>
      <x:c r="G82" s="36" t="str"/>
    </x:row>
    <x:row r="83">
      <x:c r="A83" s="36" t="str">
        <x:v>Electricity Mix, consumption mix, at consumer, AC, 1kV - 60kV | IE | 2b66a2ac</x:v>
      </x:c>
      <x:c r="B83" s="36" t="str">
        <x:v>2b66a2ac-f96a-4e91-b187-a45b537cfc96</x:v>
      </x:c>
      <x:c r="C83" s="36" t="str">
        <x:v>Electricity Mix, consumption mix, at consumer, AC, 1kV - 60kV</x:v>
      </x:c>
      <x:c r="D83" s="36" t="str">
        <x:v>IE</x:v>
      </x:c>
      <x:c r="E83" s="36" t="str">
        <x:v>ProcessType.LCI_RESULT</x:v>
      </x:c>
      <x:c r="F83" s="36" t="str"/>
      <x:c r="G83" s="36" t="str"/>
    </x:row>
    <x:row r="84">
      <x:c r="A84" s="36" t="str">
        <x:v>Bentonite granular, sodium activated, Production at plant, 1000 kg of bentonite sodium activated granular with a particle size ranging from 0.5 to 5 mm and a moisture content ranging between 8 and 13%, stored in silo, ready to be shipped in bulk., none | RER | 2b78d6f1</x:v>
      </x:c>
      <x:c r="B84" s="36" t="str">
        <x:v>2b78d6f1-2d78-4781-9701-3d34e00f2762</x:v>
      </x:c>
      <x:c r="C84" s="36" t="str">
        <x:v>Bentonite granular, sodium activated, Production at plant, 1000 kg of bentonite sodium activated granular with a particle size ranging from 0.5 to 5 mm and a moisture content ranging between 8 and 13%, stored in silo, ready to be shipped in bulk., none</x:v>
      </x:c>
      <x:c r="D84" s="36" t="str">
        <x:v>RER</x:v>
      </x:c>
      <x:c r="E84" s="36" t="str">
        <x:v>ProcessType.LCI_RESULT</x:v>
      </x:c>
      <x:c r="F84" s="36" t="str"/>
      <x:c r="G84" s="36" t="str"/>
    </x:row>
    <x:row r="85">
      <x:c r="A85" s="36" t="str">
        <x:v>Excavator, technology mix, 500 kW, Mining | GLO | 2dbe076f</x:v>
      </x:c>
      <x:c r="B85" s="36" t="str">
        <x:v>2dbe076f-4a31-4348-a36a-bedf27f56715</x:v>
      </x:c>
      <x:c r="C85" s="36" t="str">
        <x:v>Excavator, technology mix, 500 kW, Mining</x:v>
      </x:c>
      <x:c r="D85" s="36" t="str">
        <x:v>GLO</x:v>
      </x:c>
      <x:c r="E85" s="36" t="str">
        <x:v>ProcessType.UNIT_PROCESS</x:v>
      </x:c>
      <x:c r="F85" s="36" t="str"/>
      <x:c r="G85" s="36" t="str"/>
    </x:row>
    <x:row r="86">
      <x:c r="A86" s="36" t="str">
        <x:v>Process steam from light fuel oil, consumption mix, at plant, heat plant, MJ | NO | 2e88e74a</x:v>
      </x:c>
      <x:c r="B86" s="36" t="str">
        <x:v>2e88e74a-4f7c-42f0-ba85-bfa4233f47f1</x:v>
      </x:c>
      <x:c r="C86" s="36" t="str">
        <x:v>Process steam from light fuel oil, consumption mix, at plant, heat plant, MJ</x:v>
      </x:c>
      <x:c r="D86" s="36" t="str">
        <x:v>NO</x:v>
      </x:c>
      <x:c r="E86" s="36" t="str">
        <x:v>ProcessType.LCI_RESULT</x:v>
      </x:c>
      <x:c r="F86" s="36" t="str"/>
      <x:c r="G86" s="36" t="str"/>
    </x:row>
    <x:row r="87">
      <x:c r="A87" s="36" t="str">
        <x:v>Process steam from natural gas 90%, consumption mix, at power plant, heat plant, MJ, 90 % efficiency | RO | 2eba79fc</x:v>
      </x:c>
      <x:c r="B87" s="36" t="str">
        <x:v>2eba79fc-6cac-4e60-bf55-7740b2cdcfe0</x:v>
      </x:c>
      <x:c r="C87" s="36" t="str">
        <x:v>Process steam from natural gas 90%, consumption mix, at power plant, heat plant, MJ, 90 % efficiency</x:v>
      </x:c>
      <x:c r="D87" s="36" t="str">
        <x:v>RO</x:v>
      </x:c>
      <x:c r="E87" s="36" t="str">
        <x:v>ProcessType.LCI_RESULT</x:v>
      </x:c>
      <x:c r="F87" s="36" t="str"/>
      <x:c r="G87" s="36" t="str"/>
    </x:row>
    <x:row r="88">
      <x:c r="A88" s="36" t="str">
        <x:v>Process steam from Heavy fuel oil 90 %, consumption mix, at power plant, heat plant, MJ, 90 % efficiency | AT | 31010a02</x:v>
      </x:c>
      <x:c r="B88" s="36" t="str">
        <x:v>31010a02-56e5-419a-9706-4025c9a81bf2</x:v>
      </x:c>
      <x:c r="C88" s="36" t="str">
        <x:v>Process steam from Heavy fuel oil 90 %, consumption mix, at power plant, heat plant, MJ, 90 % efficiency</x:v>
      </x:c>
      <x:c r="D88" s="36" t="str">
        <x:v>AT</x:v>
      </x:c>
      <x:c r="E88" s="36" t="str">
        <x:v>ProcessType.LCI_RESULT</x:v>
      </x:c>
      <x:c r="F88" s="36" t="str"/>
      <x:c r="G88" s="36" t="str"/>
    </x:row>
    <x:row r="89">
      <x:c r="A89" s="36" t="str">
        <x:v>Process steam from heavy fuel oil, consumption mix, at plant, heat plant, MJ | DE | 3175e00f</x:v>
      </x:c>
      <x:c r="B89" s="36" t="str">
        <x:v>3175e00f-a6d5-46a1-a939-c46ba99343bc</x:v>
      </x:c>
      <x:c r="C89" s="36" t="str">
        <x:v>Process steam from heavy fuel oil, consumption mix, at plant, heat plant, MJ</x:v>
      </x:c>
      <x:c r="D89" s="36" t="str">
        <x:v>DE</x:v>
      </x:c>
      <x:c r="E89" s="36" t="str">
        <x:v>ProcessType.LCI_RESULT</x:v>
      </x:c>
      <x:c r="F89" s="36" t="str"/>
      <x:c r="G89" s="36" t="str"/>
    </x:row>
    <x:row r="90">
      <x:c r="A90" s="36" t="str">
        <x:v>Process steam from Heavy fuel oil 90 %, consumption mix, at power plant, heat plant, MJ, 90 % efficiency | LT | 31e37ee3</x:v>
      </x:c>
      <x:c r="B90" s="36" t="str">
        <x:v>31e37ee3-2c8b-4680-906d-6f2f4488d827</x:v>
      </x:c>
      <x:c r="C90" s="36" t="str">
        <x:v>Process steam from Heavy fuel oil 90 %, consumption mix, at power plant, heat plant, MJ, 90 % efficiency</x:v>
      </x:c>
      <x:c r="D90" s="36" t="str">
        <x:v>LT</x:v>
      </x:c>
      <x:c r="E90" s="36" t="str">
        <x:v>ProcessType.LCI_RESULT</x:v>
      </x:c>
      <x:c r="F90" s="36" t="str"/>
      <x:c r="G90" s="36" t="str"/>
    </x:row>
    <x:row r="91">
      <x:c r="A91" s="36" t="str">
        <x:v>Process steam from Light fuel oil 90 %, consumption mix, at power plant, heat plant, MJ, 90 % efficiency | DE | 32a54433</x:v>
      </x:c>
      <x:c r="B91" s="36" t="str">
        <x:v>32a54433-1c03-46ae-91be-78c914feb806</x:v>
      </x:c>
      <x:c r="C91" s="36" t="str">
        <x:v>Process steam from Light fuel oil 90 %, consumption mix, at power plant, heat plant, MJ, 90 % efficiency</x:v>
      </x:c>
      <x:c r="D91" s="36" t="str">
        <x:v>DE</x:v>
      </x:c>
      <x:c r="E91" s="36" t="str">
        <x:v>ProcessType.LCI_RESULT</x:v>
      </x:c>
      <x:c r="F91" s="36" t="str"/>
      <x:c r="G91" s="36" t="str"/>
    </x:row>
    <x:row r="92">
      <x:c r="A92" s="36" t="str">
        <x:v>Steel hot dip galvanized (ILCD), production mix, at plant, blast furnace route, 1kg, typical thickness between 0.3 - 3 mm. typical width between 600 - 2100 mm. | GLO | 339b2536</x:v>
      </x:c>
      <x:c r="B92" s="36" t="str">
        <x:v>339b2536-c881-409d-ac71-49ab0d228fe3</x:v>
      </x:c>
      <x:c r="C92" s="36" t="str">
        <x:v>Steel hot dip galvanized (ILCD), production mix, at plant, blast furnace route, 1kg, typical thickness between 0.3 - 3 mm. typical width between 600 - 2100 mm.</x:v>
      </x:c>
      <x:c r="D92" s="36" t="str">
        <x:v>GLO</x:v>
      </x:c>
      <x:c r="E92" s="36" t="str">
        <x:v>ProcessType.LCI_RESULT</x:v>
      </x:c>
      <x:c r="F92" s="36" t="str"/>
      <x:c r="G92" s="36" t="str"/>
    </x:row>
    <x:row r="93">
      <x:c r="A93" s="36" t="str">
        <x:v>Naphtha, consumption mix, at refinery, from crude oil | EU-15 | 34613a4c</x:v>
      </x:c>
      <x:c r="B93" s="36" t="str">
        <x:v>34613a4c-0e48-41b9-aa04-94c6f25e235a</x:v>
      </x:c>
      <x:c r="C93" s="36" t="str">
        <x:v>Naphtha, consumption mix, at refinery, from crude oil</x:v>
      </x:c>
      <x:c r="D93" s="36" t="str">
        <x:v>EU-15</x:v>
      </x:c>
      <x:c r="E93" s="36" t="str">
        <x:v>ProcessType.LCI_RESULT</x:v>
      </x:c>
      <x:c r="F93" s="36" t="str"/>
      <x:c r="G93" s="36" t="str"/>
    </x:row>
    <x:row r="94">
      <x:c r="A94" s="36" t="str">
        <x:v>Electricity Mix, consumption mix, at consumer, AC, 1kV - 60kV | UCTE | 356ce2fc</x:v>
      </x:c>
      <x:c r="B94" s="36" t="str">
        <x:v>356ce2fc-0df1-469a-9c15-9646b2c1ec2a</x:v>
      </x:c>
      <x:c r="C94" s="36" t="str">
        <x:v>Electricity Mix, consumption mix, at consumer, AC, 1kV - 60kV</x:v>
      </x:c>
      <x:c r="D94" s="36" t="str">
        <x:v>UCTE</x:v>
      </x:c>
      <x:c r="E94" s="36" t="str">
        <x:v>ProcessType.LCI_RESULT</x:v>
      </x:c>
      <x:c r="F94" s="36" t="str"/>
      <x:c r="G94" s="36" t="str"/>
    </x:row>
    <x:row r="95">
      <x:c r="A95" s="36" t="str">
        <x:v>Process steam from Heavy fuel oil 90 %, consumption mix, at power plant, heat plant, MJ, 90 % efficiency | FR | 36409607</x:v>
      </x:c>
      <x:c r="B95" s="36" t="str">
        <x:v>36409607-ae77-4a89-80d4-949da359cf93</x:v>
      </x:c>
      <x:c r="C95" s="36" t="str">
        <x:v>Process steam from Heavy fuel oil 90 %, consumption mix, at power plant, heat plant, MJ, 90 % efficiency</x:v>
      </x:c>
      <x:c r="D95" s="36" t="str">
        <x:v>FR</x:v>
      </x:c>
      <x:c r="E95" s="36" t="str">
        <x:v>ProcessType.LCI_RESULT</x:v>
      </x:c>
      <x:c r="F95" s="36" t="str"/>
      <x:c r="G95" s="36" t="str"/>
    </x:row>
    <x:row r="96">
      <x:c r="A96" s="36" t="str">
        <x:v>Process steam from heavy fuel oil, consumption mix, at plant, heat plant, MJ | BG | 36fa5c52</x:v>
      </x:c>
      <x:c r="B96" s="36" t="str">
        <x:v>36fa5c52-1ada-418d-845f-629c9429552d</x:v>
      </x:c>
      <x:c r="C96" s="36" t="str">
        <x:v>Process steam from heavy fuel oil, consumption mix, at plant, heat plant, MJ</x:v>
      </x:c>
      <x:c r="D96" s="36" t="str">
        <x:v>BG</x:v>
      </x:c>
      <x:c r="E96" s="36" t="str">
        <x:v>ProcessType.LCI_RESULT</x:v>
      </x:c>
      <x:c r="F96" s="36" t="str"/>
      <x:c r="G96" s="36" t="str"/>
    </x:row>
    <x:row r="97">
      <x:c r="A97" s="36" t="str">
        <x:v>Polyvinylchloride resin (B-PVC), production mix, at plant, bulk polymerisation | RER | 376c6e88</x:v>
      </x:c>
      <x:c r="B97" s="36" t="str">
        <x:v>376c6e88-10e2-4acb-b676-6349cd260f3b</x:v>
      </x:c>
      <x:c r="C97" s="36" t="str">
        <x:v>Polyvinylchloride resin (B-PVC), production mix, at plant, bulk polymerisation</x:v>
      </x:c>
      <x:c r="D97" s="36" t="str">
        <x:v>RER</x:v>
      </x:c>
      <x:c r="E97" s="36" t="str">
        <x:v>ProcessType.LCI_RESULT</x:v>
      </x:c>
      <x:c r="F97" s="36" t="str"/>
      <x:c r="G97" s="36" t="str"/>
    </x:row>
    <x:row r="98">
      <x:c r="A98" s="36" t="str">
        <x:v>Electricity Mix, consumption mix, at consumer, AC, 230V | BE | 383a1240</x:v>
      </x:c>
      <x:c r="B98" s="36" t="str">
        <x:v>383a1240-40c5-483a-bfae-1dbe2cd63f92</x:v>
      </x:c>
      <x:c r="C98" s="36" t="str">
        <x:v>Electricity Mix, consumption mix, at consumer, AC, 230V</x:v>
      </x:c>
      <x:c r="D98" s="36" t="str">
        <x:v>BE</x:v>
      </x:c>
      <x:c r="E98" s="36" t="str">
        <x:v>ProcessType.LCI_RESULT</x:v>
      </x:c>
      <x:c r="F98" s="36" t="str"/>
      <x:c r="G98" s="36" t="str"/>
    </x:row>
    <x:row r="99">
      <x:c r="A99" s="36" t="str">
        <x:v>Process steam from light fuel oil, consumption mix, at plant, heat plant, MJ | LT | 3858c45e</x:v>
      </x:c>
      <x:c r="B99" s="36" t="str">
        <x:v>3858c45e-699a-4671-9819-3a8e9fa297b9</x:v>
      </x:c>
      <x:c r="C99" s="36" t="str">
        <x:v>Process steam from light fuel oil, consumption mix, at plant, heat plant, MJ</x:v>
      </x:c>
      <x:c r="D99" s="36" t="str">
        <x:v>LT</x:v>
      </x:c>
      <x:c r="E99" s="36" t="str">
        <x:v>ProcessType.LCI_RESULT</x:v>
      </x:c>
      <x:c r="F99" s="36" t="str"/>
      <x:c r="G99" s="36" t="str"/>
    </x:row>
    <x:row r="100">
      <x:c r="A100" s="36" t="str">
        <x:v>Compressed air, production mix, 7 bar, low efficiency, high power consumption | GLO | 3945fc44</x:v>
      </x:c>
      <x:c r="B100" s="36" t="str">
        <x:v>3945fc44-1180-4c6d-bc18-2a37e1a85f80</x:v>
      </x:c>
      <x:c r="C100" s="36" t="str">
        <x:v>Compressed air, production mix, 7 bar, low efficiency, high power consumption</x:v>
      </x:c>
      <x:c r="D100" s="36" t="str">
        <x:v>GLO</x:v>
      </x:c>
      <x:c r="E100" s="36" t="str">
        <x:v>ProcessType.UNIT_PROCESS</x:v>
      </x:c>
      <x:c r="F100" s="36" t="str"/>
      <x:c r="G100" s="36" t="str"/>
    </x:row>
    <x:row r="101">
      <x:c r="A101" s="36" t="str">
        <x:v>Compressed air, production mix, at plant, 7 bar, high efficiency, low power consumption | EU-27 | 398d9810</x:v>
      </x:c>
      <x:c r="B101" s="36" t="str">
        <x:v>398d9810-46a2-11dd-ae16-0800200c9a66</x:v>
      </x:c>
      <x:c r="C101" s="36" t="str">
        <x:v>Compressed air, production mix, at plant, 7 bar, high efficiency, low power consumption</x:v>
      </x:c>
      <x:c r="D101" s="36" t="str">
        <x:v>EU-27</x:v>
      </x:c>
      <x:c r="E101" s="36" t="str">
        <x:v>ProcessType.LCI_RESULT</x:v>
      </x:c>
      <x:c r="F101" s="36" t="str"/>
      <x:c r="G101" s="36" t="str"/>
    </x:row>
    <x:row r="102">
      <x:c r="A102" s="36" t="str">
        <x:v>Compressed air, production mix, at plant, 10 bar, high efficiency, low power consumption | EU-27 | 398d9811</x:v>
      </x:c>
      <x:c r="B102" s="36" t="str">
        <x:v>398d9811-46a2-11dd-ae16-0800200c9a66</x:v>
      </x:c>
      <x:c r="C102" s="36" t="str">
        <x:v>Compressed air, production mix, at plant, 10 bar, high efficiency, low power consumption</x:v>
      </x:c>
      <x:c r="D102" s="36" t="str">
        <x:v>EU-27</x:v>
      </x:c>
      <x:c r="E102" s="36" t="str">
        <x:v>ProcessType.LCI_RESULT</x:v>
      </x:c>
      <x:c r="F102" s="36" t="str"/>
      <x:c r="G102" s="36" t="str"/>
    </x:row>
    <x:row r="103">
      <x:c r="A103" s="36" t="str">
        <x:v>Compressed air, production mix, at plant, 14 bar, high efficiency, low power consumption | EU-27 | 398d9812</x:v>
      </x:c>
      <x:c r="B103" s="36" t="str">
        <x:v>398d9812-46a2-11dd-ae16-0800200c9a66</x:v>
      </x:c>
      <x:c r="C103" s="36" t="str">
        <x:v>Compressed air, production mix, at plant, 14 bar, high efficiency, low power consumption</x:v>
      </x:c>
      <x:c r="D103" s="36" t="str">
        <x:v>EU-27</x:v>
      </x:c>
      <x:c r="E103" s="36" t="str">
        <x:v>ProcessType.LCI_RESULT</x:v>
      </x:c>
      <x:c r="F103" s="36" t="str"/>
      <x:c r="G103" s="36" t="str"/>
    </x:row>
    <x:row r="104">
      <x:c r="A104" s="36" t="str">
        <x:v>Compressed air, production mix, at plant, 7 bar, low efficiency, high power consumption | EU-27 | 398d9813</x:v>
      </x:c>
      <x:c r="B104" s="36" t="str">
        <x:v>398d9813-46a2-11dd-ae16-0800200c9a66</x:v>
      </x:c>
      <x:c r="C104" s="36" t="str">
        <x:v>Compressed air, production mix, at plant, 7 bar, low efficiency, high power consumption</x:v>
      </x:c>
      <x:c r="D104" s="36" t="str">
        <x:v>EU-27</x:v>
      </x:c>
      <x:c r="E104" s="36" t="str">
        <x:v>ProcessType.LCI_RESULT</x:v>
      </x:c>
      <x:c r="F104" s="36" t="str"/>
      <x:c r="G104" s="36" t="str"/>
    </x:row>
    <x:row r="105">
      <x:c r="A105" s="36" t="str">
        <x:v>Compressed air, production mix, at plant, 10 bar, low efficiency, high power consumption | EU-27 | 398d9814</x:v>
      </x:c>
      <x:c r="B105" s="36" t="str">
        <x:v>398d9814-46a2-11dd-ae16-0800200c9a66</x:v>
      </x:c>
      <x:c r="C105" s="36" t="str">
        <x:v>Compressed air, production mix, at plant, 10 bar, low efficiency, high power consumption</x:v>
      </x:c>
      <x:c r="D105" s="36" t="str">
        <x:v>EU-27</x:v>
      </x:c>
      <x:c r="E105" s="36" t="str">
        <x:v>ProcessType.LCI_RESULT</x:v>
      </x:c>
      <x:c r="F105" s="36" t="str"/>
      <x:c r="G105" s="36" t="str"/>
    </x:row>
    <x:row r="106">
      <x:c r="A106" s="36" t="str">
        <x:v>Compressed air, production mix, at plant, 14 bar, low efficiency, high power consumption | EU-27 | 398d9815</x:v>
      </x:c>
      <x:c r="B106" s="36" t="str">
        <x:v>398d9815-46a2-11dd-ae16-0800200c9a66</x:v>
      </x:c>
      <x:c r="C106" s="36" t="str">
        <x:v>Compressed air, production mix, at plant, 14 bar, low efficiency, high power consumption</x:v>
      </x:c>
      <x:c r="D106" s="36" t="str">
        <x:v>EU-27</x:v>
      </x:c>
      <x:c r="E106" s="36" t="str">
        <x:v>ProcessType.LCI_RESULT</x:v>
      </x:c>
      <x:c r="F106" s="36" t="str"/>
      <x:c r="G106" s="36" t="str"/>
    </x:row>
    <x:row r="107">
      <x:c r="A107" s="36" t="str">
        <x:v>Waste incineration of wood products (OSB, particle board), at plant, average European waste-to-energy plant, without collection, transport and pre-treatment | EU-27 | 39f61d7a</x:v>
      </x:c>
      <x:c r="B107" s="36" t="str">
        <x:v>39f61d7a-9cea-4e61-b292-50ad6ee05ccc</x:v>
      </x:c>
      <x:c r="C107" s="36" t="str">
        <x:v>Waste incineration of wood products (OSB, particle board), at plant, average European waste-to-energy plant, without collection, transport and pre-treatment</x:v>
      </x:c>
      <x:c r="D107" s="36" t="str">
        <x:v>EU-27</x:v>
      </x:c>
      <x:c r="E107" s="36" t="str">
        <x:v>ProcessType.LCI_RESULT</x:v>
      </x:c>
      <x:c r="F107" s="36" t="str"/>
      <x:c r="G107" s="36" t="str"/>
    </x:row>
    <x:row r="108">
      <x:c r="A108" s="36" t="str">
        <x:v>Electricity grid mix, consumption mix, at consumer, AC, 230V | LV | 3bb72bf4</x:v>
      </x:c>
      <x:c r="B108" s="36" t="str">
        <x:v>3bb72bf4-9357-40c5-a65a-7a9d6d924bad</x:v>
      </x:c>
      <x:c r="C108" s="36" t="str">
        <x:v>Electricity grid mix, consumption mix, at consumer, AC, 230V</x:v>
      </x:c>
      <x:c r="D108" s="36" t="str">
        <x:v>LV</x:v>
      </x:c>
      <x:c r="E108" s="36" t="str">
        <x:v>ProcessType.LCI_RESULT</x:v>
      </x:c>
      <x:c r="F108" s="36" t="str"/>
      <x:c r="G108" s="36" t="str"/>
    </x:row>
    <x:row r="109">
      <x:c r="A109" s="36" t="str">
        <x:v>Waste incineration of biodegradable waste fraction in municipal solid waste (MSW), at plant, average European waste-to-energy plant, without collection, transport and pre-treatment | EU-27 | 3c0a1214</x:v>
      </x:c>
      <x:c r="B109" s="36" t="str">
        <x:v>3c0a1214-f4b2-4254-8fca-1d9e6ee9839f</x:v>
      </x:c>
      <x:c r="C109" s="36" t="str">
        <x:v>Waste incineration of biodegradable waste fraction in municipal solid waste (MSW), at plant, average European waste-to-energy plant, without collection, transport and pre-treatment</x:v>
      </x:c>
      <x:c r="D109" s="36" t="str">
        <x:v>EU-27</x:v>
      </x:c>
      <x:c r="E109" s="36" t="str">
        <x:v>ProcessType.LCI_RESULT</x:v>
      </x:c>
      <x:c r="F109" s="36" t="str"/>
      <x:c r="G109" s="36" t="str"/>
    </x:row>
    <x:row r="110">
      <x:c r="A110" s="36" t="str">
        <x:v>Electricity Mix, consumption mix, at consumer, AC, 1kV - 60kV | DK | 3d077a81</x:v>
      </x:c>
      <x:c r="B110" s="36" t="str">
        <x:v>3d077a81-6925-4696-ba03-d711acb24a7c</x:v>
      </x:c>
      <x:c r="C110" s="36" t="str">
        <x:v>Electricity Mix, consumption mix, at consumer, AC, 1kV - 60kV</x:v>
      </x:c>
      <x:c r="D110" s="36" t="str">
        <x:v>DK</x:v>
      </x:c>
      <x:c r="E110" s="36" t="str">
        <x:v>ProcessType.LCI_RESULT</x:v>
      </x:c>
      <x:c r="F110" s="36" t="str"/>
      <x:c r="G110" s="36" t="str"/>
    </x:row>
    <x:row r="111">
      <x:c r="A111" s="36" t="str">
        <x:v>Natural Gas, consumption mix, at consumer, from onshore and offshore production incl. pipeline and LNG transport, desulphurised | EU-27 | 3d602e55</x:v>
      </x:c>
      <x:c r="B111" s="36" t="str">
        <x:v>3d602e55-aaa2-44e3-adb9-40f49eb1a915</x:v>
      </x:c>
      <x:c r="C111" s="36" t="str">
        <x:v>Natural Gas, consumption mix, at consumer, from onshore and offshore production incl. pipeline and LNG transport, desulphurised</x:v>
      </x:c>
      <x:c r="D111" s="36" t="str">
        <x:v>EU-27</x:v>
      </x:c>
      <x:c r="E111" s="36" t="str">
        <x:v>ProcessType.LCI_RESULT</x:v>
      </x:c>
      <x:c r="F111" s="36" t="str"/>
      <x:c r="G111" s="36" t="str"/>
    </x:row>
    <x:row r="112">
      <x:c r="A112" s="36" t="str">
        <x:v>Process steam from natural gas, consumption mix, at plant, heat plant, MJ | PL | 3e8cad2f</x:v>
      </x:c>
      <x:c r="B112" s="36" t="str">
        <x:v>3e8cad2f-a78b-47f5-a741-5b82b97f7a3e</x:v>
      </x:c>
      <x:c r="C112" s="36" t="str">
        <x:v>Process steam from natural gas, consumption mix, at plant, heat plant, MJ</x:v>
      </x:c>
      <x:c r="D112" s="36" t="str">
        <x:v>PL</x:v>
      </x:c>
      <x:c r="E112" s="36" t="str">
        <x:v>ProcessType.LCI_RESULT</x:v>
      </x:c>
      <x:c r="F112" s="36" t="str"/>
      <x:c r="G112" s="36" t="str"/>
    </x:row>
    <x:row r="113">
      <x:c r="A113" s="36" t="str">
        <x:v>Corrugated board boxes, production mix, at plant, technology mix, 16,6 % primary fibre, 83,4 % recycled fibre | EU-25 | 3fc467e6</x:v>
      </x:c>
      <x:c r="B113" s="36" t="str">
        <x:v>3fc467e6-280d-4de0-a426-a036b6a30c99</x:v>
      </x:c>
      <x:c r="C113" s="36" t="str">
        <x:v>Corrugated board boxes, production mix, at plant, technology mix, 16,6 % primary fibre, 83,4 % recycled fibre</x:v>
      </x:c>
      <x:c r="D113" s="36" t="str">
        <x:v>EU-25</x:v>
      </x:c>
      <x:c r="E113" s="36" t="str">
        <x:v>ProcessType.LCI_RESULT</x:v>
      </x:c>
      <x:c r="F113" s="36" t="str"/>
      <x:c r="G113" s="36" t="str"/>
    </x:row>
    <x:row r="114">
      <x:c r="A114" s="36" t="str">
        <x:v>Waste incineration of plastics (Nylon 6 GF 30, Nylon 66 GF 30), at plant, average European waste-to-energy plant, without collection, transport and pre-treatment | EU-27 | 400af2ce</x:v>
      </x:c>
      <x:c r="B114" s="36" t="str">
        <x:v>400af2ce-8ec3-45a7-b700-8fbc50b16346</x:v>
      </x:c>
      <x:c r="C114" s="36" t="str">
        <x:v>Waste incineration of plastics (Nylon 6 GF 30, Nylon 66 GF 30), at plant, average European waste-to-energy plant, without collection, transport and pre-treatment</x:v>
      </x:c>
      <x:c r="D114" s="36" t="str">
        <x:v>EU-27</x:v>
      </x:c>
      <x:c r="E114" s="36" t="str">
        <x:v>ProcessType.LCI_RESULT</x:v>
      </x:c>
      <x:c r="F114" s="36" t="str"/>
      <x:c r="G114" s="36" t="str"/>
    </x:row>
    <x:row r="115">
      <x:c r="A115" s="36" t="str">
        <x:v>Process steam from light fuel oil, consumption mix, at plant, heat plant, MJ | NL | 40557971</x:v>
      </x:c>
      <x:c r="B115" s="36" t="str">
        <x:v>40557971-68aa-4100-996b-ce090cdce5ad</x:v>
      </x:c>
      <x:c r="C115" s="36" t="str">
        <x:v>Process steam from light fuel oil, consumption mix, at plant, heat plant, MJ</x:v>
      </x:c>
      <x:c r="D115" s="36" t="str">
        <x:v>NL</x:v>
      </x:c>
      <x:c r="E115" s="36" t="str">
        <x:v>ProcessType.LCI_RESULT</x:v>
      </x:c>
      <x:c r="F115" s="36" t="str"/>
      <x:c r="G115" s="36" t="str"/>
    </x:row>
    <x:row r="116">
      <x:c r="A116" s="36" t="str">
        <x:v>Particle board, production mix, at plant, P5 (V100), 7,8% water content | EU-27 | 407d8151</x:v>
      </x:c>
      <x:c r="B116" s="36" t="str">
        <x:v>407d8151-839c-46a9-9bd3-c0d2bf8570ea</x:v>
      </x:c>
      <x:c r="C116" s="36" t="str">
        <x:v>Particle board, production mix, at plant, P5 (V100), 7,8% water content</x:v>
      </x:c>
      <x:c r="D116" s="36" t="str">
        <x:v>EU-27</x:v>
      </x:c>
      <x:c r="E116" s="36" t="str">
        <x:v>ProcessType.LCI_RESULT</x:v>
      </x:c>
      <x:c r="F116" s="36" t="str"/>
      <x:c r="G116" s="36" t="str"/>
    </x:row>
    <x:row r="117">
      <x:c r="A117" s="36" t="str">
        <x:v>Mining Truck, technology mix, 220 t payload, 1.700 kW | RER | 40d64e6d</x:v>
      </x:c>
      <x:c r="B117" s="36" t="str">
        <x:v>40d64e6d-a823-471e-b759-339027c0a4f7</x:v>
      </x:c>
      <x:c r="C117" s="36" t="str">
        <x:v>Mining Truck, technology mix, 220 t payload, 1.700 kW</x:v>
      </x:c>
      <x:c r="D117" s="36" t="str">
        <x:v>RER</x:v>
      </x:c>
      <x:c r="E117" s="36" t="str">
        <x:v>ProcessType.LCI_RESULT</x:v>
      </x:c>
      <x:c r="F117" s="36" t="str"/>
      <x:c r="G117" s="36" t="str"/>
    </x:row>
    <x:row r="118">
      <x:c r="A118" s="36" t="str">
        <x:v>Process steam from natural gas, consumption mix, at plant, heat plant, MJ | NO | 41ef4f48</x:v>
      </x:c>
      <x:c r="B118" s="36" t="str">
        <x:v>41ef4f48-2a2e-485e-8680-c12dedb89c97</x:v>
      </x:c>
      <x:c r="C118" s="36" t="str">
        <x:v>Process steam from natural gas, consumption mix, at plant, heat plant, MJ</x:v>
      </x:c>
      <x:c r="D118" s="36" t="str">
        <x:v>NO</x:v>
      </x:c>
      <x:c r="E118" s="36" t="str">
        <x:v>ProcessType.LCI_RESULT</x:v>
      </x:c>
      <x:c r="F118" s="36" t="str"/>
      <x:c r="G118" s="36" t="str"/>
    </x:row>
    <x:row r="119">
      <x:c r="A119" s="36" t="str">
        <x:v>Process steam from heavy fuel oil, consumption mix, at plant, heat plant, MJ | EU-27 | 423014a0</x:v>
      </x:c>
      <x:c r="B119" s="36" t="str">
        <x:v>423014a0-6cd1-47f7-ba78-d1a2d626265c</x:v>
      </x:c>
      <x:c r="C119" s="36" t="str">
        <x:v>Process steam from heavy fuel oil, consumption mix, at plant, heat plant, MJ</x:v>
      </x:c>
      <x:c r="D119" s="36" t="str">
        <x:v>EU-27</x:v>
      </x:c>
      <x:c r="E119" s="36" t="str">
        <x:v>ProcessType.LCI_RESULT</x:v>
      </x:c>
      <x:c r="F119" s="36" t="str"/>
      <x:c r="G119" s="36" t="str"/>
    </x:row>
    <x:row r="120">
      <x:c r="A120" s="36" t="str">
        <x:v>Electricity Mix, consumption mix, at consumer, AC, 220V | LV | 4276d3c9</x:v>
      </x:c>
      <x:c r="B120" s="36" t="str">
        <x:v>4276d3c9-7b96-4dd7-893c-63e6eb801167</x:v>
      </x:c>
      <x:c r="C120" s="36" t="str">
        <x:v>Electricity Mix, consumption mix, at consumer, AC, 220V</x:v>
      </x:c>
      <x:c r="D120" s="36" t="str">
        <x:v>LV</x:v>
      </x:c>
      <x:c r="E120" s="36" t="str">
        <x:v>ProcessType.LCI_RESULT</x:v>
      </x:c>
      <x:c r="F120" s="36" t="str"/>
      <x:c r="G120" s="36" t="str"/>
    </x:row>
    <x:row r="121">
      <x:c r="A121" s="36" t="str">
        <x:v>Electricity grid mix, consumption mix, at consumer, AC, 230V | IT | 451b20fe</x:v>
      </x:c>
      <x:c r="B121" s="36" t="str">
        <x:v>451b20fe-d6e9-4a9a-8ece-69b30b790b13</x:v>
      </x:c>
      <x:c r="C121" s="36" t="str">
        <x:v>Electricity grid mix, consumption mix, at consumer, AC, 230V</x:v>
      </x:c>
      <x:c r="D121" s="36" t="str">
        <x:v>IT</x:v>
      </x:c>
      <x:c r="E121" s="36" t="str">
        <x:v>ProcessType.LCI_RESULT</x:v>
      </x:c>
      <x:c r="F121" s="36" t="str"/>
      <x:c r="G121" s="36" t="str"/>
    </x:row>
    <x:row r="122">
      <x:c r="A122" s="36" t="str">
        <x:v>Polybutadiene granulate (PB), production mix, at plant | RER | 4575c944</x:v>
      </x:c>
      <x:c r="B122" s="36" t="str">
        <x:v>4575c944-457d-4825-82ff-17528d28b3ac</x:v>
      </x:c>
      <x:c r="C122" s="36" t="str">
        <x:v>Polybutadiene granulate (PB), production mix, at plant</x:v>
      </x:c>
      <x:c r="D122" s="36" t="str">
        <x:v>RER</x:v>
      </x:c>
      <x:c r="E122" s="36" t="str">
        <x:v>ProcessType.LCI_RESULT</x:v>
      </x:c>
      <x:c r="F122" s="36" t="str"/>
      <x:c r="G122" s="36" t="str"/>
    </x:row>
    <x:row r="123">
      <x:c r="A123" s="36" t="str">
        <x:v>Ethene (Ethylene), production mix, at plant, from steam cracking, gaseous | EU-27 | 45e41797</x:v>
      </x:c>
      <x:c r="B123" s="36" t="str">
        <x:v>45e41797-e9a1-4ee9-af29-75ae71d1943f</x:v>
      </x:c>
      <x:c r="C123" s="36" t="str">
        <x:v>Ethene (Ethylene), production mix, at plant, from steam cracking, gaseous</x:v>
      </x:c>
      <x:c r="D123" s="36" t="str">
        <x:v>EU-27</x:v>
      </x:c>
      <x:c r="E123" s="36" t="str">
        <x:v>ProcessType.LCI_RESULT</x:v>
      </x:c>
      <x:c r="F123" s="36" t="str"/>
      <x:c r="G123" s="36" t="str"/>
    </x:row>
    <x:row r="124">
      <x:c r="A124" s="36" t="str">
        <x:v>Electricity grid mix 1kV-60kV, consumption mix, at consumer, AC, 1kV - 60kV | LU | 461064b5</x:v>
      </x:c>
      <x:c r="B124" s="36" t="str">
        <x:v>461064b5-a622-4b6f-b11d-331a6c7ee56f</x:v>
      </x:c>
      <x:c r="C124" s="36" t="str">
        <x:v>Electricity grid mix 1kV-60kV, consumption mix, at consumer, AC, 1kV - 60kV</x:v>
      </x:c>
      <x:c r="D124" s="36" t="str">
        <x:v>LU</x:v>
      </x:c>
      <x:c r="E124" s="36" t="str">
        <x:v>ProcessType.LCI_RESULT</x:v>
      </x:c>
      <x:c r="F124" s="36" t="str"/>
      <x:c r="G124" s="36" t="str"/>
    </x:row>
    <x:row r="125">
      <x:c r="A125" s="36" t="str">
        <x:v>Polyethylene low density granulate (PE-LD), production mix, at plant | RER | 46c09193</x:v>
      </x:c>
      <x:c r="B125" s="36" t="str">
        <x:v>46c09193-ab51-43ae-957f-e6383b67e73d</x:v>
      </x:c>
      <x:c r="C125" s="36" t="str">
        <x:v>Polyethylene low density granulate (PE-LD), production mix, at plant</x:v>
      </x:c>
      <x:c r="D125" s="36" t="str">
        <x:v>RER</x:v>
      </x:c>
      <x:c r="E125" s="36" t="str">
        <x:v>ProcessType.LCI_RESULT</x:v>
      </x:c>
      <x:c r="F125" s="36" t="str"/>
      <x:c r="G125" s="36" t="str"/>
    </x:row>
    <x:row r="126">
      <x:c r="A126" s="36" t="str">
        <x:v>Process steam from natural gas 90 %, consumption mix, at power plant, heat plant, MJ, 90 % efficiency | NO | 46cfb376</x:v>
      </x:c>
      <x:c r="B126" s="36" t="str">
        <x:v>46cfb376-9c9e-451f-91d3-7ce14d60c508</x:v>
      </x:c>
      <x:c r="C126" s="36" t="str">
        <x:v>Process steam from natural gas 90 %, consumption mix, at power plant, heat plant, MJ, 90 % efficiency</x:v>
      </x:c>
      <x:c r="D126" s="36" t="str">
        <x:v>NO</x:v>
      </x:c>
      <x:c r="E126" s="36" t="str">
        <x:v>ProcessType.LCI_RESULT</x:v>
      </x:c>
      <x:c r="F126" s="36" t="str"/>
      <x:c r="G126" s="36" t="str"/>
    </x:row>
    <x:row r="127">
      <x:c r="A127" s="36" t="str">
        <x:v>Waste incineration of plastics (unspecified) fraction in municipal solid waste (MSW), at plant, average European waste-to-energy plant, without collection, transport and pre-treatment | EU-27 | 46d6bd5b</x:v>
      </x:c>
      <x:c r="B127" s="36" t="str">
        <x:v>46d6bd5b-16e1-459c-a018-340f33ed2f72</x:v>
      </x:c>
      <x:c r="C127" s="36" t="str">
        <x:v>Waste incineration of plastics (unspecified) fraction in municipal solid waste (MSW), at plant, average European waste-to-energy plant, without collection, transport and pre-treatment</x:v>
      </x:c>
      <x:c r="D127" s="36" t="str">
        <x:v>EU-27</x:v>
      </x:c>
      <x:c r="E127" s="36" t="str">
        <x:v>ProcessType.LCI_RESULT</x:v>
      </x:c>
      <x:c r="F127" s="36" t="str"/>
      <x:c r="G127" s="36" t="str"/>
    </x:row>
    <x:row r="128">
      <x:c r="A128" s="36" t="str">
        <x:v>Electricity grid mix, consumption mix, at consumer, AC, 230V | BE | 46d98b14</x:v>
      </x:c>
      <x:c r="B128" s="36" t="str">
        <x:v>46d98b14-f729-4b2b-a91e-915835e15292</x:v>
      </x:c>
      <x:c r="C128" s="36" t="str">
        <x:v>Electricity grid mix, consumption mix, at consumer, AC, 230V</x:v>
      </x:c>
      <x:c r="D128" s="36" t="str">
        <x:v>BE</x:v>
      </x:c>
      <x:c r="E128" s="36" t="str">
        <x:v>ProcessType.LCI_RESULT</x:v>
      </x:c>
      <x:c r="F128" s="36" t="str"/>
      <x:c r="G128" s="36" t="str"/>
    </x:row>
    <x:row r="129">
      <x:c r="A129" s="36" t="str">
        <x:v>Electricity grid mix 1kV-60kV, consumption mix, at consumer, AC, 1kV - 60kV | SK | 474b5ca8</x:v>
      </x:c>
      <x:c r="B129" s="36" t="str">
        <x:v>474b5ca8-862d-4781-b196-027a0af4e1ea</x:v>
      </x:c>
      <x:c r="C129" s="36" t="str">
        <x:v>Electricity grid mix 1kV-60kV, consumption mix, at consumer, AC, 1kV - 60kV</x:v>
      </x:c>
      <x:c r="D129" s="36" t="str">
        <x:v>SK</x:v>
      </x:c>
      <x:c r="E129" s="36" t="str">
        <x:v>ProcessType.LCI_RESULT</x:v>
      </x:c>
      <x:c r="F129" s="36" t="str"/>
      <x:c r="G129" s="36" t="str"/>
    </x:row>
    <x:row r="130">
      <x:c r="A130" s="36" t="str">
        <x:v>Electricity grid mix, consumption mix, at consumer, AC, 230V | MT | 47e713e0</x:v>
      </x:c>
      <x:c r="B130" s="36" t="str">
        <x:v>47e713e0-916c-4a8d-b60c-33846509c9e0</x:v>
      </x:c>
      <x:c r="C130" s="36" t="str">
        <x:v>Electricity grid mix, consumption mix, at consumer, AC, 230V</x:v>
      </x:c>
      <x:c r="D130" s="36" t="str">
        <x:v>MT</x:v>
      </x:c>
      <x:c r="E130" s="36" t="str">
        <x:v>ProcessType.LCI_RESULT</x:v>
      </x:c>
      <x:c r="F130" s="36" t="str"/>
      <x:c r="G130" s="36" t="str"/>
    </x:row>
    <x:row r="131">
      <x:c r="A131" s="36" t="str">
        <x:v>Electricity grid mix, consumption mix, at consumer, AC, 230V | DE | 4883d4ff</x:v>
      </x:c>
      <x:c r="B131" s="36" t="str">
        <x:v>4883d4ff-3fe8-4d11-a049-e7057551f647</x:v>
      </x:c>
      <x:c r="C131" s="36" t="str">
        <x:v>Electricity grid mix, consumption mix, at consumer, AC, 230V</x:v>
      </x:c>
      <x:c r="D131" s="36" t="str">
        <x:v>DE</x:v>
      </x:c>
      <x:c r="E131" s="36" t="str">
        <x:v>ProcessType.LCI_RESULT</x:v>
      </x:c>
      <x:c r="F131" s="36" t="str"/>
      <x:c r="G131" s="36" t="str"/>
    </x:row>
    <x:row r="132">
      <x:c r="A132" s="36" t="str">
        <x:v>Electricity Mix, consumption mix, at consumer, AC, 230V | DE | 48ab6f40</x:v>
      </x:c>
      <x:c r="B132" s="36" t="str">
        <x:v>48ab6f40-203b-4895-8742-9bdbef55e494</x:v>
      </x:c>
      <x:c r="C132" s="36" t="str">
        <x:v>Electricity Mix, consumption mix, at consumer, AC, 230V</x:v>
      </x:c>
      <x:c r="D132" s="36" t="str">
        <x:v>DE</x:v>
      </x:c>
      <x:c r="E132" s="36" t="str">
        <x:v>ProcessType.LCI_RESULT</x:v>
      </x:c>
      <x:c r="F132" s="36" t="str"/>
      <x:c r="G132" s="36" t="str"/>
    </x:row>
    <x:row r="133">
      <x:c r="A133" s="36" t="str">
        <x:v>Process steam from natural gas 90 %, consumption mix, at power plant, heat plant, MJ, 90 % efficiency | BE | 48b4bfd8</x:v>
      </x:c>
      <x:c r="B133" s="36" t="str">
        <x:v>48b4bfd8-b8d2-4a9f-b605-618e1fbdd041</x:v>
      </x:c>
      <x:c r="C133" s="36" t="str">
        <x:v>Process steam from natural gas 90 %, consumption mix, at power plant, heat plant, MJ, 90 % efficiency</x:v>
      </x:c>
      <x:c r="D133" s="36" t="str">
        <x:v>BE</x:v>
      </x:c>
      <x:c r="E133" s="36" t="str">
        <x:v>ProcessType.LCI_RESULT</x:v>
      </x:c>
      <x:c r="F133" s="36" t="str"/>
      <x:c r="G133" s="36" t="str"/>
    </x:row>
    <x:row r="134">
      <x:c r="A134" s="36" t="str">
        <x:v>Electricity Mix, consumption mix, at consumer, AC, 230V | FI | 48e2653b</x:v>
      </x:c>
      <x:c r="B134" s="36" t="str">
        <x:v>48e2653b-8ca0-4eb7-97e5-721b0508f514</x:v>
      </x:c>
      <x:c r="C134" s="36" t="str">
        <x:v>Electricity Mix, consumption mix, at consumer, AC, 230V</x:v>
      </x:c>
      <x:c r="D134" s="36" t="str">
        <x:v>FI</x:v>
      </x:c>
      <x:c r="E134" s="36" t="str">
        <x:v>ProcessType.LCI_RESULT</x:v>
      </x:c>
      <x:c r="F134" s="36" t="str"/>
      <x:c r="G134" s="36" t="str"/>
    </x:row>
    <x:row r="135">
      <x:c r="A135" s="36" t="str">
        <x:v>Electricity Mix, consumption mix, at consumer, AC, 220V | IE | 493e9446</x:v>
      </x:c>
      <x:c r="B135" s="36" t="str">
        <x:v>493e9446-ad0f-437c-a7f8-fa11b3f315ca</x:v>
      </x:c>
      <x:c r="C135" s="36" t="str">
        <x:v>Electricity Mix, consumption mix, at consumer, AC, 220V</x:v>
      </x:c>
      <x:c r="D135" s="36" t="str">
        <x:v>IE</x:v>
      </x:c>
      <x:c r="E135" s="36" t="str">
        <x:v>ProcessType.LCI_RESULT</x:v>
      </x:c>
      <x:c r="F135" s="36" t="str"/>
      <x:c r="G135" s="36" t="str"/>
    </x:row>
    <x:row r="136">
      <x:c r="A136" s="36" t="str">
        <x:v>Electricity Mix, consumption mix, at consumer, AC, 1kV - 60kV | CY | 49ee616a</x:v>
      </x:c>
      <x:c r="B136" s="36" t="str">
        <x:v>49ee616a-8dad-4c26-bb50-abd04adeedb6</x:v>
      </x:c>
      <x:c r="C136" s="36" t="str">
        <x:v>Electricity Mix, consumption mix, at consumer, AC, 1kV - 60kV</x:v>
      </x:c>
      <x:c r="D136" s="36" t="str">
        <x:v>CY</x:v>
      </x:c>
      <x:c r="E136" s="36" t="str">
        <x:v>ProcessType.LCI_RESULT</x:v>
      </x:c>
      <x:c r="F136" s="36" t="str"/>
      <x:c r="G136" s="36" t="str"/>
    </x:row>
    <x:row r="137">
      <x:c r="A137" s="36" t="str">
        <x:v>Kaolin coarse filler , at plant, Production | EU-27 | 4a1ebe7c</x:v>
      </x:c>
      <x:c r="B137" s="36" t="str">
        <x:v>4a1ebe7c-6835-4a22-8b2e-3201f1cd32e8</x:v>
      </x:c>
      <x:c r="C137" s="36" t="str">
        <x:v>Kaolin coarse filler , at plant, Production</x:v>
      </x:c>
      <x:c r="D137" s="36" t="str">
        <x:v>EU-27</x:v>
      </x:c>
      <x:c r="E137" s="36" t="str">
        <x:v>ProcessType.LCI_RESULT</x:v>
      </x:c>
      <x:c r="F137" s="36" t="str"/>
      <x:c r="G137" s="36" t="str"/>
    </x:row>
    <x:row r="138">
      <x:c r="A138" s="36" t="str">
        <x:v>Nitrogen, production mix, at plant, via cryogenic air separation, gaseous | EU-27 | 4a259aec</x:v>
      </x:c>
      <x:c r="B138" s="36" t="str">
        <x:v>4a259aec-c66f-4375-aa9e-5b8c745addc0</x:v>
      </x:c>
      <x:c r="C138" s="36" t="str">
        <x:v>Nitrogen, production mix, at plant, via cryogenic air separation, gaseous</x:v>
      </x:c>
      <x:c r="D138" s="36" t="str">
        <x:v>EU-27</x:v>
      </x:c>
      <x:c r="E138" s="36" t="str">
        <x:v>ProcessType.LCI_RESULT</x:v>
      </x:c>
      <x:c r="F138" s="36" t="str"/>
      <x:c r="G138" s="36" t="str"/>
    </x:row>
    <x:row r="139">
      <x:c r="A139" s="36" t="str">
        <x:v>Process steam from Heavy fuel oil 90 %, consumption mix, at power plant, heat plant, MJ, 90 % efficiency | NL | 4b380f00</x:v>
      </x:c>
      <x:c r="B139" s="36" t="str">
        <x:v>4b380f00-cfe7-4a5d-bbfd-59bafa67ecf0</x:v>
      </x:c>
      <x:c r="C139" s="36" t="str">
        <x:v>Process steam from Heavy fuel oil 90 %, consumption mix, at power plant, heat plant, MJ, 90 % efficiency</x:v>
      </x:c>
      <x:c r="D139" s="36" t="str">
        <x:v>NL</x:v>
      </x:c>
      <x:c r="E139" s="36" t="str">
        <x:v>ProcessType.LCI_RESULT</x:v>
      </x:c>
      <x:c r="F139" s="36" t="str"/>
      <x:c r="G139" s="36" t="str"/>
    </x:row>
    <x:row r="140">
      <x:c r="A140" s="36" t="str">
        <x:v>Electricity Mix, consumption mix, at consumer, AC, 1kV - 60kV | LV | 4bc5e589</x:v>
      </x:c>
      <x:c r="B140" s="36" t="str">
        <x:v>4bc5e589-2ac4-488c-b2d5-fc9f745ca504</x:v>
      </x:c>
      <x:c r="C140" s="36" t="str">
        <x:v>Electricity Mix, consumption mix, at consumer, AC, 1kV - 60kV</x:v>
      </x:c>
      <x:c r="D140" s="36" t="str">
        <x:v>LV</x:v>
      </x:c>
      <x:c r="E140" s="36" t="str">
        <x:v>ProcessType.LCI_RESULT</x:v>
      </x:c>
      <x:c r="F140" s="36" t="str"/>
      <x:c r="G140" s="36" t="str"/>
    </x:row>
    <x:row r="141">
      <x:c r="A141" s="36" t="str">
        <x:v>Process steam from Light fuel oil 90 %, consumption mix, at power plant, heat plant, MJ, 90 % efficiency | NO | 4cc9c5be</x:v>
      </x:c>
      <x:c r="B141" s="36" t="str">
        <x:v>4cc9c5be-f2ef-47ac-a823-8c51c552269d</x:v>
      </x:c>
      <x:c r="C141" s="36" t="str">
        <x:v>Process steam from Light fuel oil 90 %, consumption mix, at power plant, heat plant, MJ, 90 % efficiency</x:v>
      </x:c>
      <x:c r="D141" s="36" t="str">
        <x:v>NO</x:v>
      </x:c>
      <x:c r="E141" s="36" t="str">
        <x:v>ProcessType.LCI_RESULT</x:v>
      </x:c>
      <x:c r="F141" s="36" t="str"/>
      <x:c r="G141" s="36" t="str"/>
    </x:row>
    <x:row r="142">
      <x:c r="A142" s="36" t="str">
        <x:v>Process steam from natural gas, consumption mix, at plant, heat plant, MJ | NL | 4cffadc4</x:v>
      </x:c>
      <x:c r="B142" s="36" t="str">
        <x:v>4cffadc4-e2a2-4d34-9087-e54a2cfa4bd0</x:v>
      </x:c>
      <x:c r="C142" s="36" t="str">
        <x:v>Process steam from natural gas, consumption mix, at plant, heat plant, MJ</x:v>
      </x:c>
      <x:c r="D142" s="36" t="str">
        <x:v>NL</x:v>
      </x:c>
      <x:c r="E142" s="36" t="str">
        <x:v>ProcessType.LCI_RESULT</x:v>
      </x:c>
      <x:c r="F142" s="36" t="str"/>
      <x:c r="G142" s="36" t="str"/>
    </x:row>
    <x:row r="143">
      <x:c r="A143" s="36" t="str">
        <x:v>Process steam from Heavy fuel oil 90%, consumption mix, at power plant, heat plant, MJ, 90 % efficiency | EU-27 | 4e06ca2f</x:v>
      </x:c>
      <x:c r="B143" s="36" t="str">
        <x:v>4e06ca2f-0a8d-42c9-8d50-cf3582372f5b</x:v>
      </x:c>
      <x:c r="C143" s="36" t="str">
        <x:v>Process steam from Heavy fuel oil 90%, consumption mix, at power plant, heat plant, MJ, 90 % efficiency</x:v>
      </x:c>
      <x:c r="D143" s="36" t="str">
        <x:v>EU-27</x:v>
      </x:c>
      <x:c r="E143" s="36" t="str">
        <x:v>ProcessType.LCI_RESULT</x:v>
      </x:c>
      <x:c r="F143" s="36" t="str"/>
      <x:c r="G143" s="36" t="str"/>
    </x:row>
    <x:row r="144">
      <x:c r="A144" s="36" t="str">
        <x:v>Waste incineration of municipal solid waste (MSW), at plant, average European waste-to-energy plant, without collection, transport and pre-treatment | EU-27 | 4f035020</x:v>
      </x:c>
      <x:c r="B144" s="36" t="str">
        <x:v>4f035020-4599-424d-8f48-627b35dd1a7f</x:v>
      </x:c>
      <x:c r="C144" s="36" t="str">
        <x:v>Waste incineration of municipal solid waste (MSW), at plant, average European waste-to-energy plant, without collection, transport and pre-treatment</x:v>
      </x:c>
      <x:c r="D144" s="36" t="str">
        <x:v>EU-27</x:v>
      </x:c>
      <x:c r="E144" s="36" t="str">
        <x:v>ProcessType.LCI_RESULT</x:v>
      </x:c>
      <x:c r="F144" s="36" t="str"/>
      <x:c r="G144" s="36" t="str"/>
    </x:row>
    <x:row r="145">
      <x:c r="A145" s="36" t="str">
        <x:v>Heavy fuel oil, consumption mix, at refinery, from crude oil | EU-15 | 50462b0d</x:v>
      </x:c>
      <x:c r="B145" s="36" t="str">
        <x:v>50462b0d-7d2b-40d4-843e-9857061e3c08</x:v>
      </x:c>
      <x:c r="C145" s="36" t="str">
        <x:v>Heavy fuel oil, consumption mix, at refinery, from crude oil</x:v>
      </x:c>
      <x:c r="D145" s="36" t="str">
        <x:v>EU-15</x:v>
      </x:c>
      <x:c r="E145" s="36" t="str">
        <x:v>ProcessType.LCI_RESULT</x:v>
      </x:c>
      <x:c r="F145" s="36" t="str"/>
      <x:c r="G145" s="36" t="str"/>
    </x:row>
    <x:row r="146">
      <x:c r="A146" s="36" t="str">
        <x:v>Copper tube; technology mix; market mix, at plant; diameter 15 mm, 1 mm thickness, Technology and Market Mix for Tube fabrication representing main European production countries, Market Mix for Copper cathode in Europe (primary and secondary Cu cathod... | EU-25 | 5098e9f2</x:v>
      </x:c>
      <x:c r="B146" s="36" t="str">
        <x:v>5098e9f2-e2f1-44e9-ac4e-62a8864ae2b6</x:v>
      </x:c>
      <x:c r="C146" s="36" t="str">
        <x:v>Copper tube; technology mix; market mix, at plant; diameter 15 mm, 1 mm thickness, Technology and Market Mix for Tube fabrication representing main European production countries, Market Mix for Copper cathode in Europe (primary and secondary Cu cathod...</x:v>
      </x:c>
      <x:c r="D146" s="36" t="str">
        <x:v>EU-25</x:v>
      </x:c>
      <x:c r="E146" s="36" t="str">
        <x:v>ProcessType.LCI_RESULT</x:v>
      </x:c>
      <x:c r="F146" s="36" t="str"/>
      <x:c r="G146" s="36" t="str"/>
    </x:row>
    <x:row r="147">
      <x:c r="A147" s="36" t="str">
        <x:v>Graphic Paper,  production mix, at plant,  technology mix,  79% primary fibre, 21% recycled fibre | EU-25 | 50e97735</x:v>
      </x:c>
      <x:c r="B147" s="36" t="str">
        <x:v>50e97735-1e19-4788-8525-e39de50cd804</x:v>
      </x:c>
      <x:c r="C147" s="36" t="str">
        <x:v>Graphic Paper,  production mix, at plant,  technology mix,  79% primary fibre, 21% recycled fibre</x:v>
      </x:c>
      <x:c r="D147" s="36" t="str">
        <x:v>EU-25</x:v>
      </x:c>
      <x:c r="E147" s="36" t="str">
        <x:v>ProcessType.LCI_RESULT</x:v>
      </x:c>
      <x:c r="F147" s="36" t="str"/>
      <x:c r="G147" s="36" t="str"/>
    </x:row>
    <x:row r="148">
      <x:c r="A148" s="36" t="str">
        <x:v>Electricity grid mix, consumption mix, at consumer, AC, 230V | NO | 519483d0</x:v>
      </x:c>
      <x:c r="B148" s="36" t="str">
        <x:v>519483d0-1f36-48aa-a0d1-65c052055b02</x:v>
      </x:c>
      <x:c r="C148" s="36" t="str">
        <x:v>Electricity grid mix, consumption mix, at consumer, AC, 230V</x:v>
      </x:c>
      <x:c r="D148" s="36" t="str">
        <x:v>NO</x:v>
      </x:c>
      <x:c r="E148" s="36" t="str">
        <x:v>ProcessType.LCI_RESULT</x:v>
      </x:c>
      <x:c r="F148" s="36" t="str"/>
      <x:c r="G148" s="36" t="str"/>
    </x:row>
    <x:row r="149">
      <x:c r="A149" s="36" t="str">
        <x:v>Electricity grid mix, consumption mix, at consumer, AC, 230V | CH | 51c6c54a</x:v>
      </x:c>
      <x:c r="B149" s="36" t="str">
        <x:v>51c6c54a-b0aa-4a40-8dd4-fd381cf28c62</x:v>
      </x:c>
      <x:c r="C149" s="36" t="str">
        <x:v>Electricity grid mix, consumption mix, at consumer, AC, 230V</x:v>
      </x:c>
      <x:c r="D149" s="36" t="str">
        <x:v>CH</x:v>
      </x:c>
      <x:c r="E149" s="36" t="str">
        <x:v>ProcessType.LCI_RESULT</x:v>
      </x:c>
      <x:c r="F149" s="36" t="str"/>
      <x:c r="G149" s="36" t="str"/>
    </x:row>
    <x:row r="150">
      <x:c r="A150" s="36" t="str">
        <x:v>Electricity grid mix 1kV-60kV, consumption mix, at consumer, AC, 1kV - 60kV | GB | 51f4fcad</x:v>
      </x:c>
      <x:c r="B150" s="36" t="str">
        <x:v>51f4fcad-9830-4345-9413-c7e06721885e</x:v>
      </x:c>
      <x:c r="C150" s="36" t="str">
        <x:v>Electricity grid mix 1kV-60kV, consumption mix, at consumer, AC, 1kV - 60kV</x:v>
      </x:c>
      <x:c r="D150" s="36" t="str">
        <x:v>GB</x:v>
      </x:c>
      <x:c r="E150" s="36" t="str">
        <x:v>ProcessType.LCI_RESULT</x:v>
      </x:c>
      <x:c r="F150" s="36" t="str"/>
      <x:c r="G150" s="36" t="str"/>
    </x:row>
    <x:row r="151">
      <x:c r="A151" s="36" t="str">
        <x:v>Light fuel oil at refinery, production mix, at refinery, from crude oil, fuel supply, 0.1 wt.% sulphur | EU-27 | 5214312b</x:v>
      </x:c>
      <x:c r="B151" s="36" t="str">
        <x:v>5214312b-3726-4af4-b804-2b1556b94d54</x:v>
      </x:c>
      <x:c r="C151" s="36" t="str">
        <x:v>Light fuel oil at refinery, production mix, at refinery, from crude oil, fuel supply, 0.1 wt.% sulphur</x:v>
      </x:c>
      <x:c r="D151" s="36" t="str">
        <x:v>EU-27</x:v>
      </x:c>
      <x:c r="E151" s="36" t="str">
        <x:v>ProcessType.LCI_RESULT</x:v>
      </x:c>
      <x:c r="F151" s="36" t="str"/>
      <x:c r="G151" s="36" t="str"/>
    </x:row>
    <x:row r="152">
      <x:c r="A152" s="36" t="str">
        <x:v>Process steam from heavy fuel oil, consumption mix, at plant, heat plant, MJ | DK | 52d8c821</x:v>
      </x:c>
      <x:c r="B152" s="36" t="str">
        <x:v>52d8c821-a37a-43df-9356-1118105bc396</x:v>
      </x:c>
      <x:c r="C152" s="36" t="str">
        <x:v>Process steam from heavy fuel oil, consumption mix, at plant, heat plant, MJ</x:v>
      </x:c>
      <x:c r="D152" s="36" t="str">
        <x:v>DK</x:v>
      </x:c>
      <x:c r="E152" s="36" t="str">
        <x:v>ProcessType.LCI_RESULT</x:v>
      </x:c>
      <x:c r="F152" s="36" t="str"/>
      <x:c r="G152" s="36" t="str"/>
    </x:row>
    <x:row r="153">
      <x:c r="A153" s="36" t="str">
        <x:v>Process steam from Heavy fuel oil 90 %, consumption mix, at power plant, heat plant, MJ, 90 % efficiency | CY | 530e4c8d</x:v>
      </x:c>
      <x:c r="B153" s="36" t="str">
        <x:v>530e4c8d-ee58-4de2-9a92-fb86b471d676</x:v>
      </x:c>
      <x:c r="C153" s="36" t="str">
        <x:v>Process steam from Heavy fuel oil 90 %, consumption mix, at power plant, heat plant, MJ, 90 % efficiency</x:v>
      </x:c>
      <x:c r="D153" s="36" t="str">
        <x:v>CY</x:v>
      </x:c>
      <x:c r="E153" s="36" t="str">
        <x:v>ProcessType.LCI_RESULT</x:v>
      </x:c>
      <x:c r="F153" s="36" t="str"/>
      <x:c r="G153" s="36" t="str"/>
    </x:row>
    <x:row r="154">
      <x:c r="A154" s="36" t="str">
        <x:v>cartonboard sheets; mixed technology; production mix, at plant; 46% primary fibre, 54% recovered fibre (en) | EU-27 | 54025657</x:v>
      </x:c>
      <x:c r="B154" s="36" t="str">
        <x:v>54025657-ca8e-1cd4-3330-0000339bcc6d</x:v>
      </x:c>
      <x:c r="C154" s="36" t="str">
        <x:v>cartonboard sheets; mixed technology; production mix, at plant; 46% primary fibre, 54% recovered fibre (en)</x:v>
      </x:c>
      <x:c r="D154" s="36" t="str">
        <x:v>EU-27</x:v>
      </x:c>
      <x:c r="E154" s="36" t="str">
        <x:v>ProcessType.LCI_RESULT</x:v>
      </x:c>
      <x:c r="F154" s="36" t="str"/>
      <x:c r="G154" s="36" t="str"/>
    </x:row>
    <x:row r="155">
      <x:c r="A155" s="36" t="str">
        <x:v>Process steam from natural gas 90 %, consumption mix, at power plant, heat plant, MJ, 90 % efficiency | DK | 56afe055</x:v>
      </x:c>
      <x:c r="B155" s="36" t="str">
        <x:v>56afe055-64dd-4cc8-927a-519245b1d5a8</x:v>
      </x:c>
      <x:c r="C155" s="36" t="str">
        <x:v>Process steam from natural gas 90 %, consumption mix, at power plant, heat plant, MJ, 90 % efficiency</x:v>
      </x:c>
      <x:c r="D155" s="36" t="str">
        <x:v>DK</x:v>
      </x:c>
      <x:c r="E155" s="36" t="str">
        <x:v>ProcessType.LCI_RESULT</x:v>
      </x:c>
      <x:c r="F155" s="36" t="str"/>
      <x:c r="G155" s="36" t="str"/>
    </x:row>
    <x:row r="156">
      <x:c r="A156" s="36" t="str">
        <x:v>Compressed air, production mix, 14 bar, high efficiency, low power consumption | GLO | 56b6349e</x:v>
      </x:c>
      <x:c r="B156" s="36" t="str">
        <x:v>56b6349e-3c06-47d3-ae0e-24e357659f93</x:v>
      </x:c>
      <x:c r="C156" s="36" t="str">
        <x:v>Compressed air, production mix, 14 bar, high efficiency, low power consumption</x:v>
      </x:c>
      <x:c r="D156" s="36" t="str">
        <x:v>GLO</x:v>
      </x:c>
      <x:c r="E156" s="36" t="str">
        <x:v>ProcessType.UNIT_PROCESS</x:v>
      </x:c>
      <x:c r="F156" s="36" t="str"/>
      <x:c r="G156" s="36" t="str"/>
    </x:row>
    <x:row r="157">
      <x:c r="A157" s="36" t="str">
        <x:v>Electricity grid mix 1kV-60kV, consumption mix, at consumer, AC, 1kV - 60kV | GR | 56bb1f6d</x:v>
      </x:c>
      <x:c r="B157" s="36" t="str">
        <x:v>56bb1f6d-e3d1-4a51-a491-7b444d8868c1</x:v>
      </x:c>
      <x:c r="C157" s="36" t="str">
        <x:v>Electricity grid mix 1kV-60kV, consumption mix, at consumer, AC, 1kV - 60kV</x:v>
      </x:c>
      <x:c r="D157" s="36" t="str">
        <x:v>GR</x:v>
      </x:c>
      <x:c r="E157" s="36" t="str">
        <x:v>ProcessType.LCI_RESULT</x:v>
      </x:c>
      <x:c r="F157" s="36" t="str"/>
      <x:c r="G157" s="36" t="str"/>
    </x:row>
    <x:row r="158">
      <x:c r="A158" s="36" t="str">
        <x:v>Process steam from light fuel oil, consumption mix, at plant, heat plant, MJ | RO | 57430805</x:v>
      </x:c>
      <x:c r="B158" s="36" t="str">
        <x:v>57430805-e82d-4aad-8d4a-25dcef7936f9</x:v>
      </x:c>
      <x:c r="C158" s="36" t="str">
        <x:v>Process steam from light fuel oil, consumption mix, at plant, heat plant, MJ</x:v>
      </x:c>
      <x:c r="D158" s="36" t="str">
        <x:v>RO</x:v>
      </x:c>
      <x:c r="E158" s="36" t="str">
        <x:v>ProcessType.LCI_RESULT</x:v>
      </x:c>
      <x:c r="F158" s="36" t="str"/>
      <x:c r="G158" s="36" t="str"/>
    </x:row>
    <x:row r="159">
      <x:c r="A159" s="36" t="str">
        <x:v>Kerosene / Jet A1 at refinery, production mix, at refinery, from crude oil, fuel supply, 480 ppm sulphur | EU-27 | 57c9a203</x:v>
      </x:c>
      <x:c r="B159" s="36" t="str">
        <x:v>57c9a203-78bf-4051-ae19-6d9f9eed6fa6</x:v>
      </x:c>
      <x:c r="C159" s="36" t="str">
        <x:v>Kerosene / Jet A1 at refinery, production mix, at refinery, from crude oil, fuel supply, 480 ppm sulphur</x:v>
      </x:c>
      <x:c r="D159" s="36" t="str">
        <x:v>EU-27</x:v>
      </x:c>
      <x:c r="E159" s="36" t="str">
        <x:v>ProcessType.LCI_RESULT</x:v>
      </x:c>
      <x:c r="F159" s="36" t="str"/>
      <x:c r="G159" s="36" t="str"/>
    </x:row>
    <x:row r="160">
      <x:c r="A160" s="36" t="str">
        <x:v>Process steam from heavy fuel oil, consumption mix, at plant, heat plant, MJ | GR | 587f2512</x:v>
      </x:c>
      <x:c r="B160" s="36" t="str">
        <x:v>587f2512-22e3-4f9c-9c1d-24e823c6f82e</x:v>
      </x:c>
      <x:c r="C160" s="36" t="str">
        <x:v>Process steam from heavy fuel oil, consumption mix, at plant, heat plant, MJ</x:v>
      </x:c>
      <x:c r="D160" s="36" t="str">
        <x:v>GR</x:v>
      </x:c>
      <x:c r="E160" s="36" t="str">
        <x:v>ProcessType.LCI_RESULT</x:v>
      </x:c>
      <x:c r="F160" s="36" t="str"/>
      <x:c r="G160" s="36" t="str"/>
    </x:row>
    <x:row r="161">
      <x:c r="A161" s="36" t="str">
        <x:v>Electricity grid mix, consumption mix, at consumer, AC, 230V | CY | 58f31cbd</x:v>
      </x:c>
      <x:c r="B161" s="36" t="str">
        <x:v>58f31cbd-ddc8-49ef-bae4-32ec8334984b</x:v>
      </x:c>
      <x:c r="C161" s="36" t="str">
        <x:v>Electricity grid mix, consumption mix, at consumer, AC, 230V</x:v>
      </x:c>
      <x:c r="D161" s="36" t="str">
        <x:v>CY</x:v>
      </x:c>
      <x:c r="E161" s="36" t="str">
        <x:v>ProcessType.LCI_RESULT</x:v>
      </x:c>
      <x:c r="F161" s="36" t="str"/>
      <x:c r="G161" s="36" t="str"/>
    </x:row>
    <x:row r="162">
      <x:c r="A162" s="36" t="str">
        <x:v>Process steam from light fuel oil, consumption mix, at plant, heat plant, MJ | LV | 5aa1f305</x:v>
      </x:c>
      <x:c r="B162" s="36" t="str">
        <x:v>5aa1f305-8d35-45bf-8a00-b44506f1fd38</x:v>
      </x:c>
      <x:c r="C162" s="36" t="str">
        <x:v>Process steam from light fuel oil, consumption mix, at plant, heat plant, MJ</x:v>
      </x:c>
      <x:c r="D162" s="36" t="str">
        <x:v>LV</x:v>
      </x:c>
      <x:c r="E162" s="36" t="str">
        <x:v>ProcessType.LCI_RESULT</x:v>
      </x:c>
      <x:c r="F162" s="36" t="str"/>
      <x:c r="G162" s="36" t="str"/>
    </x:row>
    <x:row r="163">
      <x:c r="A163" s="36" t="str">
        <x:v>Gypsum stone (CaSO4-dihydrate), production mix, at plant, underground and open pit mining, grinded and purified product | DE | 5adbdfe6</x:v>
      </x:c>
      <x:c r="B163" s="36" t="str">
        <x:v>5adbdfe6-401f-4dfa-a3ec-1699064adb34</x:v>
      </x:c>
      <x:c r="C163" s="36" t="str">
        <x:v>Gypsum stone (CaSO4-dihydrate), production mix, at plant, underground and open pit mining, grinded and purified product</x:v>
      </x:c>
      <x:c r="D163" s="36" t="str">
        <x:v>DE</x:v>
      </x:c>
      <x:c r="E163" s="36" t="str">
        <x:v>ProcessType.LCI_RESULT</x:v>
      </x:c>
      <x:c r="F163" s="36" t="str"/>
      <x:c r="G163" s="36" t="str"/>
    </x:row>
    <x:row r="164">
      <x:c r="A164" s="36" t="str">
        <x:v>Electricity Mix, consumption mix, at consumer, AC, 1kV - 60kV | PL | 5b0b8cd1</x:v>
      </x:c>
      <x:c r="B164" s="36" t="str">
        <x:v>5b0b8cd1-d964-4273-bd13-896190ec41cf</x:v>
      </x:c>
      <x:c r="C164" s="36" t="str">
        <x:v>Electricity Mix, consumption mix, at consumer, AC, 1kV - 60kV</x:v>
      </x:c>
      <x:c r="D164" s="36" t="str">
        <x:v>PL</x:v>
      </x:c>
      <x:c r="E164" s="36" t="str">
        <x:v>ProcessType.LCI_RESULT</x:v>
      </x:c>
      <x:c r="F164" s="36" t="str"/>
      <x:c r="G164" s="36" t="str"/>
    </x:row>
    <x:row r="165">
      <x:c r="A165" s="36" t="str">
        <x:v>Compressed air, production mix, 10 bar, low efficiency, high power consumption | GLO | 5c8e669a</x:v>
      </x:c>
      <x:c r="B165" s="36" t="str">
        <x:v>5c8e669a-68c6-48e3-88b4-bdaa8979cee9</x:v>
      </x:c>
      <x:c r="C165" s="36" t="str">
        <x:v>Compressed air, production mix, 10 bar, low efficiency, high power consumption</x:v>
      </x:c>
      <x:c r="D165" s="36" t="str">
        <x:v>GLO</x:v>
      </x:c>
      <x:c r="E165" s="36" t="str">
        <x:v>ProcessType.UNIT_PROCESS</x:v>
      </x:c>
      <x:c r="F165" s="36" t="str"/>
      <x:c r="G165" s="36" t="str"/>
    </x:row>
    <x:row r="166">
      <x:c r="A166" s="36" t="str">
        <x:v>Electricity grid mix 1kV-60kV, consumption mix, at consumer, AC, 1kV - 60kV | NL | 5d040fa9</x:v>
      </x:c>
      <x:c r="B166" s="36" t="str">
        <x:v>5d040fa9-596c-4a94-b6ba-35b59e330699</x:v>
      </x:c>
      <x:c r="C166" s="36" t="str">
        <x:v>Electricity grid mix 1kV-60kV, consumption mix, at consumer, AC, 1kV - 60kV</x:v>
      </x:c>
      <x:c r="D166" s="36" t="str">
        <x:v>NL</x:v>
      </x:c>
      <x:c r="E166" s="36" t="str">
        <x:v>ProcessType.LCI_RESULT</x:v>
      </x:c>
      <x:c r="F166" s="36" t="str"/>
      <x:c r="G166" s="36" t="str"/>
    </x:row>
    <x:row r="167">
      <x:c r="A167" s="36" t="str">
        <x:v>Process steam from natural gas, consumption mix, at plant, heat plant, MJ | LV | 5d604c45</x:v>
      </x:c>
      <x:c r="B167" s="36" t="str">
        <x:v>5d604c45-a693-4b9a-9455-0e626575964d</x:v>
      </x:c>
      <x:c r="C167" s="36" t="str">
        <x:v>Process steam from natural gas, consumption mix, at plant, heat plant, MJ</x:v>
      </x:c>
      <x:c r="D167" s="36" t="str">
        <x:v>LV</x:v>
      </x:c>
      <x:c r="E167" s="36" t="str">
        <x:v>ProcessType.LCI_RESULT</x:v>
      </x:c>
      <x:c r="F167" s="36" t="str"/>
      <x:c r="G167" s="36" t="str"/>
    </x:row>
    <x:row r="168">
      <x:c r="A168" s="36" t="str">
        <x:v>Process steam from natural gas, consumption mix, at plant, heat plant, MJ | LU | 5ea6beb4</x:v>
      </x:c>
      <x:c r="B168" s="36" t="str">
        <x:v>5ea6beb4-dc87-4a4e-b502-0a61317c661d</x:v>
      </x:c>
      <x:c r="C168" s="36" t="str">
        <x:v>Process steam from natural gas, consumption mix, at plant, heat plant, MJ</x:v>
      </x:c>
      <x:c r="D168" s="36" t="str">
        <x:v>LU</x:v>
      </x:c>
      <x:c r="E168" s="36" t="str">
        <x:v>ProcessType.LCI_RESULT</x:v>
      </x:c>
      <x:c r="F168" s="36" t="str"/>
      <x:c r="G168" s="36" t="str"/>
    </x:row>
    <x:row r="169">
      <x:c r="A169" s="36" t="str">
        <x:v>Electricity Mix, consumption mix, at consumer, AC, 230V | BG | 5ee552e7</x:v>
      </x:c>
      <x:c r="B169" s="36" t="str">
        <x:v>5ee552e7-487b-43df-84ec-de7dd7ea704b</x:v>
      </x:c>
      <x:c r="C169" s="36" t="str">
        <x:v>Electricity Mix, consumption mix, at consumer, AC, 230V</x:v>
      </x:c>
      <x:c r="D169" s="36" t="str">
        <x:v>BG</x:v>
      </x:c>
      <x:c r="E169" s="36" t="str">
        <x:v>ProcessType.LCI_RESULT</x:v>
      </x:c>
      <x:c r="F169" s="36" t="str"/>
      <x:c r="G169" s="36" t="str"/>
    </x:row>
    <x:row r="170">
      <x:c r="A170" s="36" t="str">
        <x:v>Gasoline (regular), consumption mix, at refinery, from crude oil, 100 ppm sulphur | EU-15 | 5f62ed77</x:v>
      </x:c>
      <x:c r="B170" s="36" t="str">
        <x:v>5f62ed77-85d0-4c99-8d2c-be56951d8fb3</x:v>
      </x:c>
      <x:c r="C170" s="36" t="str">
        <x:v>Gasoline (regular), consumption mix, at refinery, from crude oil, 100 ppm sulphur</x:v>
      </x:c>
      <x:c r="D170" s="36" t="str">
        <x:v>EU-15</x:v>
      </x:c>
      <x:c r="E170" s="36" t="str">
        <x:v>ProcessType.LCI_RESULT</x:v>
      </x:c>
      <x:c r="F170" s="36" t="str"/>
      <x:c r="G170" s="36" t="str"/>
    </x:row>
    <x:row r="171">
      <x:c r="A171" s="36" t="str">
        <x:v>Process steam from natural gas 90 %, consumption mix, at power plant, heat plant, MJ, 90 % efficiency | CH | 5ffd4c0b</x:v>
      </x:c>
      <x:c r="B171" s="36" t="str">
        <x:v>5ffd4c0b-2873-47b6-8abb-dd42bfd90ea5</x:v>
      </x:c>
      <x:c r="C171" s="36" t="str">
        <x:v>Process steam from natural gas 90 %, consumption mix, at power plant, heat plant, MJ, 90 % efficiency</x:v>
      </x:c>
      <x:c r="D171" s="36" t="str">
        <x:v>CH</x:v>
      </x:c>
      <x:c r="E171" s="36" t="str">
        <x:v>ProcessType.LCI_RESULT</x:v>
      </x:c>
      <x:c r="F171" s="36" t="str"/>
      <x:c r="G171" s="36" t="str"/>
    </x:row>
    <x:row r="172">
      <x:c r="A172" s="36" t="str">
        <x:v>Portland cement (CEM I), CEMBUREAU production mix, at plant, CEMBUREAU technology mix, EN 197-1 | RER | 600573dd</x:v>
      </x:c>
      <x:c r="B172" s="36" t="str">
        <x:v>600573dd-dfa5-44e5-b458-8727e793ffd7</x:v>
      </x:c>
      <x:c r="C172" s="36" t="str">
        <x:v>Portland cement (CEM I), CEMBUREAU production mix, at plant, CEMBUREAU technology mix, EN 197-1</x:v>
      </x:c>
      <x:c r="D172" s="36" t="str">
        <x:v>RER</x:v>
      </x:c>
      <x:c r="E172" s="36" t="str">
        <x:v>ProcessType.LCI_RESULT</x:v>
      </x:c>
      <x:c r="F172" s="36" t="str"/>
      <x:c r="G172" s="36" t="str"/>
    </x:row>
    <x:row r="173">
      <x:c r="A173" s="36" t="str">
        <x:v>Calcium carbonate &gt; 63 microns, at plant, Production | EU-27 | 6006d87e</x:v>
      </x:c>
      <x:c r="B173" s="36" t="str">
        <x:v>6006d87e-ccee-42b1-b203-f67c7c0bad97</x:v>
      </x:c>
      <x:c r="C173" s="36" t="str">
        <x:v>Calcium carbonate &gt; 63 microns, at plant, Production</x:v>
      </x:c>
      <x:c r="D173" s="36" t="str">
        <x:v>EU-27</x:v>
      </x:c>
      <x:c r="E173" s="36" t="str">
        <x:v>ProcessType.LCI_RESULT</x:v>
      </x:c>
      <x:c r="F173" s="36" t="str"/>
      <x:c r="G173" s="36" t="str"/>
    </x:row>
    <x:row r="174">
      <x:c r="A174" s="36" t="str">
        <x:v>Process steam from Light fuel oil 90 %, consumption mix, at power plant, heat plant, MJ, 90 % efficiency | BG | 60637492</x:v>
      </x:c>
      <x:c r="B174" s="36" t="str">
        <x:v>60637492-73e3-466f-bb58-4d032a82aeb9</x:v>
      </x:c>
      <x:c r="C174" s="36" t="str">
        <x:v>Process steam from Light fuel oil 90 %, consumption mix, at power plant, heat plant, MJ, 90 % efficiency</x:v>
      </x:c>
      <x:c r="D174" s="36" t="str">
        <x:v>BG</x:v>
      </x:c>
      <x:c r="E174" s="36" t="str">
        <x:v>ProcessType.LCI_RESULT</x:v>
      </x:c>
      <x:c r="F174" s="36" t="str"/>
      <x:c r="G174" s="36" t="str"/>
    </x:row>
    <x:row r="175">
      <x:c r="A175" s="36" t="str">
        <x:v>Waste incineration of glass/inert material, at plant, average European waste-to-energy plant, without collection, transport and pre-treatment | EU-27 | 60815257</x:v>
      </x:c>
      <x:c r="B175" s="36" t="str">
        <x:v>60815257-bdaa-495a-a8da-163c5ed2439d</x:v>
      </x:c>
      <x:c r="C175" s="36" t="str">
        <x:v>Waste incineration of glass/inert material, at plant, average European waste-to-energy plant, without collection, transport and pre-treatment</x:v>
      </x:c>
      <x:c r="D175" s="36" t="str">
        <x:v>EU-27</x:v>
      </x:c>
      <x:c r="E175" s="36" t="str">
        <x:v>ProcessType.LCI_RESULT</x:v>
      </x:c>
      <x:c r="F175" s="36" t="str"/>
      <x:c r="G175" s="36" t="str"/>
    </x:row>
    <x:row r="176">
      <x:c r="A176" s="36" t="str">
        <x:v>Beverage carton converting, converting mix, at plant, Converting, beverage carton | EU-27 | 6118e7c9</x:v>
      </x:c>
      <x:c r="B176" s="36" t="str">
        <x:v>6118e7c9-98ce-46f9-a3df-95cc3f8f8b2e</x:v>
      </x:c>
      <x:c r="C176" s="36" t="str">
        <x:v>Beverage carton converting, converting mix, at plant, Converting, beverage carton</x:v>
      </x:c>
      <x:c r="D176" s="36" t="str">
        <x:v>EU-27</x:v>
      </x:c>
      <x:c r="E176" s="36" t="str">
        <x:v>ProcessType.UNIT_PROCESS</x:v>
      </x:c>
      <x:c r="F176" s="36" t="str"/>
      <x:c r="G176" s="36" t="str"/>
    </x:row>
    <x:row r="177">
      <x:c r="A177" s="36" t="str">
        <x:v>Process steam from Light fuel oil 90 %, consumption mix, at power plant, heat plant, MJ, 90 % efficiency | IE | 6179c18b</x:v>
      </x:c>
      <x:c r="B177" s="36" t="str">
        <x:v>6179c18b-197e-483a-924a-b34f70bbb01e</x:v>
      </x:c>
      <x:c r="C177" s="36" t="str">
        <x:v>Process steam from Light fuel oil 90 %, consumption mix, at power plant, heat plant, MJ, 90 % efficiency</x:v>
      </x:c>
      <x:c r="D177" s="36" t="str">
        <x:v>IE</x:v>
      </x:c>
      <x:c r="E177" s="36" t="str">
        <x:v>ProcessType.LCI_RESULT</x:v>
      </x:c>
      <x:c r="F177" s="36" t="str"/>
      <x:c r="G177" s="36" t="str"/>
    </x:row>
    <x:row r="178">
      <x:c r="A178" s="36" t="str">
        <x:v>Pine wood, production mix, at saw mill, timber, 40% water content | DE | 621e64d0</x:v>
      </x:c>
      <x:c r="B178" s="36" t="str">
        <x:v>621e64d0-f471-4023-9ebc-a52cd8ee573f</x:v>
      </x:c>
      <x:c r="C178" s="36" t="str">
        <x:v>Pine wood, production mix, at saw mill, timber, 40% water content</x:v>
      </x:c>
      <x:c r="D178" s="36" t="str">
        <x:v>DE</x:v>
      </x:c>
      <x:c r="E178" s="36" t="str">
        <x:v>ProcessType.LCI_RESULT</x:v>
      </x:c>
      <x:c r="F178" s="36" t="str"/>
      <x:c r="G178" s="36" t="str"/>
    </x:row>
    <x:row r="179">
      <x:c r="A179" s="36" t="str">
        <x:v>Process steam from Heavy fuel oil 90 %, consumption mix, at power plant, heat plant, MJ, 90 % efficiency | DK | 636440aa</x:v>
      </x:c>
      <x:c r="B179" s="36" t="str">
        <x:v>636440aa-c194-48bc-92fa-035b995d2daa</x:v>
      </x:c>
      <x:c r="C179" s="36" t="str">
        <x:v>Process steam from Heavy fuel oil 90 %, consumption mix, at power plant, heat plant, MJ, 90 % efficiency</x:v>
      </x:c>
      <x:c r="D179" s="36" t="str">
        <x:v>DK</x:v>
      </x:c>
      <x:c r="E179" s="36" t="str">
        <x:v>ProcessType.LCI_RESULT</x:v>
      </x:c>
      <x:c r="F179" s="36" t="str"/>
      <x:c r="G179" s="36" t="str"/>
    </x:row>
    <x:row r="180">
      <x:c r="A180" s="36" t="str">
        <x:v>Landfill of plastic waste, at landfill site, landfill including landfill gas utilisation and leachate treatment and without collection, transport and   pre-treatment | EU-27 | 64197300</x:v>
      </x:c>
      <x:c r="B180" s="36" t="str">
        <x:v>64197300-3307-11dd-bd11-0800200c9a66</x:v>
      </x:c>
      <x:c r="C180" s="36" t="str">
        <x:v>Landfill of plastic waste, at landfill site, landfill including landfill gas utilisation and leachate treatment and without collection, transport and   pre-treatment</x:v>
      </x:c>
      <x:c r="D180" s="36" t="str">
        <x:v>EU-27</x:v>
      </x:c>
      <x:c r="E180" s="36" t="str">
        <x:v>ProcessType.LCI_RESULT</x:v>
      </x:c>
      <x:c r="F180" s="36" t="str"/>
      <x:c r="G180" s="36" t="str"/>
    </x:row>
    <x:row r="181">
      <x:c r="A181" s="36" t="str">
        <x:v>Landfill of ferro metals, at landfill site, landfill including leachate treatment and without collection, transport and pre-treatment | EU-27 | 64197301</x:v>
      </x:c>
      <x:c r="B181" s="36" t="str">
        <x:v>64197301-3307-11dd-bd11-0800200c9a66</x:v>
      </x:c>
      <x:c r="C181" s="36" t="str">
        <x:v>Landfill of ferro metals, at landfill site, landfill including leachate treatment and without collection, transport and pre-treatment</x:v>
      </x:c>
      <x:c r="D181" s="36" t="str">
        <x:v>EU-27</x:v>
      </x:c>
      <x:c r="E181" s="36" t="str">
        <x:v>ProcessType.LCI_RESULT</x:v>
      </x:c>
      <x:c r="F181" s="36" t="str"/>
      <x:c r="G181" s="36" t="str"/>
    </x:row>
    <x:row r="182">
      <x:c r="A182" s="36" t="str">
        <x:v>Landfill of untreated wood, at landfill site, landfill including landfill gas utilisation and leachate treatment and without collection, transport and   pre-treatment | EU-27 | 64197302</x:v>
      </x:c>
      <x:c r="B182" s="36" t="str">
        <x:v>64197302-3307-11dd-bd11-0800200c9a66</x:v>
      </x:c>
      <x:c r="C182" s="36" t="str">
        <x:v>Landfill of untreated wood, at landfill site, landfill including landfill gas utilisation and leachate treatment and without collection, transport and   pre-treatment</x:v>
      </x:c>
      <x:c r="D182" s="36" t="str">
        <x:v>EU-27</x:v>
      </x:c>
      <x:c r="E182" s="36" t="str">
        <x:v>ProcessType.LCI_RESULT</x:v>
      </x:c>
      <x:c r="F182" s="36" t="str"/>
      <x:c r="G182" s="36" t="str"/>
    </x:row>
    <x:row r="183">
      <x:c r="A183" s="36" t="str">
        <x:v>Landfill of wood products (OSB, particle board), at landfill site, landfill including landfill gas utilisation and leachate treatment and without collection, transport and   pre-treatment | EU-27 | 64197303</x:v>
      </x:c>
      <x:c r="B183" s="36" t="str">
        <x:v>64197303-3307-11dd-bd11-0800200c9a66</x:v>
      </x:c>
      <x:c r="C183" s="36" t="str">
        <x:v>Landfill of wood products (OSB, particle board), at landfill site, landfill including landfill gas utilisation and leachate treatment and without collection, transport and   pre-treatment</x:v>
      </x:c>
      <x:c r="D183" s="36" t="str">
        <x:v>EU-27</x:v>
      </x:c>
      <x:c r="E183" s="36" t="str">
        <x:v>ProcessType.LCI_RESULT</x:v>
      </x:c>
      <x:c r="F183" s="36" t="str"/>
      <x:c r="G183" s="36" t="str"/>
    </x:row>
    <x:row r="184">
      <x:c r="A184" s="36" t="str">
        <x:v>Landfill of glass/inert waste, at landfill site, landfill including leachate treatment and without collection, transport and pre-treatment | EU-27 | 64197304</x:v>
      </x:c>
      <x:c r="B184" s="36" t="str">
        <x:v>64197304-3307-11dd-bd11-0800200c9a66</x:v>
      </x:c>
      <x:c r="C184" s="36" t="str">
        <x:v>Landfill of glass/inert waste, at landfill site, landfill including leachate treatment and without collection, transport and pre-treatment</x:v>
      </x:c>
      <x:c r="D184" s="36" t="str">
        <x:v>EU-27</x:v>
      </x:c>
      <x:c r="E184" s="36" t="str">
        <x:v>ProcessType.LCI_RESULT</x:v>
      </x:c>
      <x:c r="F184" s="36" t="str"/>
      <x:c r="G184" s="36" t="str"/>
    </x:row>
    <x:row r="185">
      <x:c r="A185" s="36" t="str">
        <x:v>Process steam from natural gas, consumption mix, at plant, heat plant, MJ | LT | 64a67216</x:v>
      </x:c>
      <x:c r="B185" s="36" t="str">
        <x:v>64a67216-dbc6-4c3b-9246-f2123d92e439</x:v>
      </x:c>
      <x:c r="C185" s="36" t="str">
        <x:v>Process steam from natural gas, consumption mix, at plant, heat plant, MJ</x:v>
      </x:c>
      <x:c r="D185" s="36" t="str">
        <x:v>LT</x:v>
      </x:c>
      <x:c r="E185" s="36" t="str">
        <x:v>ProcessType.LCI_RESULT</x:v>
      </x:c>
      <x:c r="F185" s="36" t="str"/>
      <x:c r="G185" s="36" t="str"/>
    </x:row>
    <x:row r="186">
      <x:c r="A186" s="36" t="str">
        <x:v>Process steam from natural gas, consumption mix, at plant, heat plant, MJ | IT | 65c89403</x:v>
      </x:c>
      <x:c r="B186" s="36" t="str">
        <x:v>65c89403-5e54-46e5-9152-a8b00b100537</x:v>
      </x:c>
      <x:c r="C186" s="36" t="str">
        <x:v>Process steam from natural gas, consumption mix, at plant, heat plant, MJ</x:v>
      </x:c>
      <x:c r="D186" s="36" t="str">
        <x:v>IT</x:v>
      </x:c>
      <x:c r="E186" s="36" t="str">
        <x:v>ProcessType.LCI_RESULT</x:v>
      </x:c>
      <x:c r="F186" s="36" t="str"/>
      <x:c r="G186" s="36" t="str"/>
    </x:row>
    <x:row r="187">
      <x:c r="A187" s="36" t="str">
        <x:v>Electricity grid mix, consumption mix, at consumer, AC, 220V | IS | 66f41d27</x:v>
      </x:c>
      <x:c r="B187" s="36" t="str">
        <x:v>66f41d27-8e4f-40f8-bb3c-6be91f3856c5</x:v>
      </x:c>
      <x:c r="C187" s="36" t="str">
        <x:v>Electricity grid mix, consumption mix, at consumer, AC, 220V</x:v>
      </x:c>
      <x:c r="D187" s="36" t="str">
        <x:v>IS</x:v>
      </x:c>
      <x:c r="E187" s="36" t="str">
        <x:v>ProcessType.LCI_RESULT</x:v>
      </x:c>
      <x:c r="F187" s="36" t="str"/>
      <x:c r="G187" s="36" t="str"/>
    </x:row>
    <x:row r="188">
      <x:c r="A188" s="36" t="str">
        <x:v>Polymethyl methacrylate (PMMA) beads, production mix, at plant | RER | 67116372</x:v>
      </x:c>
      <x:c r="B188" s="36" t="str">
        <x:v>67116372-6605-4c48-a973-e0445b81dd29</x:v>
      </x:c>
      <x:c r="C188" s="36" t="str">
        <x:v>Polymethyl methacrylate (PMMA) beads, production mix, at plant</x:v>
      </x:c>
      <x:c r="D188" s="36" t="str">
        <x:v>RER</x:v>
      </x:c>
      <x:c r="E188" s="36" t="str">
        <x:v>ProcessType.LCI_RESULT</x:v>
      </x:c>
      <x:c r="F188" s="36" t="str"/>
      <x:c r="G188" s="36" t="str"/>
    </x:row>
    <x:row r="189">
      <x:c r="A189" s="36" t="str">
        <x:v>Process steam from natural gas, consumption mix, at plant, heat plant, MJ | IE | 674dec3e</x:v>
      </x:c>
      <x:c r="B189" s="36" t="str">
        <x:v>674dec3e-9b5f-4a15-9d61-d0fdb44d01d3</x:v>
      </x:c>
      <x:c r="C189" s="36" t="str">
        <x:v>Process steam from natural gas, consumption mix, at plant, heat plant, MJ</x:v>
      </x:c>
      <x:c r="D189" s="36" t="str">
        <x:v>IE</x:v>
      </x:c>
      <x:c r="E189" s="36" t="str">
        <x:v>ProcessType.LCI_RESULT</x:v>
      </x:c>
      <x:c r="F189" s="36" t="str"/>
      <x:c r="G189" s="36" t="str"/>
    </x:row>
    <x:row r="190">
      <x:c r="A190" s="36" t="str">
        <x:v>Continuous filament glass fibre (direct rovings), at plant | RER | 6756d1f6</x:v>
      </x:c>
      <x:c r="B190" s="36" t="str">
        <x:v>6756d1f6-8661-452f-badf-bd386a8b947a</x:v>
      </x:c>
      <x:c r="C190" s="36" t="str">
        <x:v>Continuous filament glass fibre (direct rovings), at plant</x:v>
      </x:c>
      <x:c r="D190" s="36" t="str">
        <x:v>RER</x:v>
      </x:c>
      <x:c r="E190" s="36" t="str">
        <x:v>ProcessType.LCI_RESULT</x:v>
      </x:c>
      <x:c r="F190" s="36" t="str"/>
      <x:c r="G190" s="36" t="str"/>
    </x:row>
    <x:row r="191">
      <x:c r="A191" s="36" t="str">
        <x:v>Process steam from natural gas, consumption mix, at plant, heat plant, MJ | HU | 68839bdf</x:v>
      </x:c>
      <x:c r="B191" s="36" t="str">
        <x:v>68839bdf-50e2-40dc-a6ec-ce26b770d294</x:v>
      </x:c>
      <x:c r="C191" s="36" t="str">
        <x:v>Process steam from natural gas, consumption mix, at plant, heat plant, MJ</x:v>
      </x:c>
      <x:c r="D191" s="36" t="str">
        <x:v>HU</x:v>
      </x:c>
      <x:c r="E191" s="36" t="str">
        <x:v>ProcessType.LCI_RESULT</x:v>
      </x:c>
      <x:c r="F191" s="36" t="str"/>
      <x:c r="G191" s="36" t="str"/>
    </x:row>
    <x:row r="192">
      <x:c r="A192" s="36" t="str">
        <x:v>Electricity grid mix, consumption mix, at consumer, AC, 230V | PT | 69b8cf2e</x:v>
      </x:c>
      <x:c r="B192" s="36" t="str">
        <x:v>69b8cf2e-e834-49be-8ed3-69a38f5e8154</x:v>
      </x:c>
      <x:c r="C192" s="36" t="str">
        <x:v>Electricity grid mix, consumption mix, at consumer, AC, 230V</x:v>
      </x:c>
      <x:c r="D192" s="36" t="str">
        <x:v>PT</x:v>
      </x:c>
      <x:c r="E192" s="36" t="str">
        <x:v>ProcessType.LCI_RESULT</x:v>
      </x:c>
      <x:c r="F192" s="36" t="str"/>
      <x:c r="G192" s="36" t="str"/>
    </x:row>
    <x:row r="193">
      <x:c r="A193" s="36" t="str">
        <x:v>Process steam from Heavy fuel oil 90 %, consumption mix, at power plant, heat plant, MJ, 90 % efficiency | IT | 6ada8308</x:v>
      </x:c>
      <x:c r="B193" s="36" t="str">
        <x:v>6ada8308-f4ee-4def-b432-eaac27c205d9</x:v>
      </x:c>
      <x:c r="C193" s="36" t="str">
        <x:v>Process steam from Heavy fuel oil 90 %, consumption mix, at power plant, heat plant, MJ, 90 % efficiency</x:v>
      </x:c>
      <x:c r="D193" s="36" t="str">
        <x:v>IT</x:v>
      </x:c>
      <x:c r="E193" s="36" t="str">
        <x:v>ProcessType.LCI_RESULT</x:v>
      </x:c>
      <x:c r="F193" s="36" t="str"/>
      <x:c r="G193" s="36" t="str"/>
    </x:row>
    <x:row r="194">
      <x:c r="A194" s="36" t="str">
        <x:v>Mining Truck, technology mix, 220 t payload, 1.700 kW | GLO | 6b0d5bef</x:v>
      </x:c>
      <x:c r="B194" s="36" t="str">
        <x:v>6b0d5bef-6e69-4b8c-98e2-31a67fe890bc</x:v>
      </x:c>
      <x:c r="C194" s="36" t="str">
        <x:v>Mining Truck, technology mix, 220 t payload, 1.700 kW</x:v>
      </x:c>
      <x:c r="D194" s="36" t="str">
        <x:v>GLO</x:v>
      </x:c>
      <x:c r="E194" s="36" t="str">
        <x:v>ProcessType.UNIT_PROCESS</x:v>
      </x:c>
      <x:c r="F194" s="36" t="str"/>
      <x:c r="G194" s="36" t="str"/>
    </x:row>
    <x:row r="195">
      <x:c r="A195" s="36" t="str">
        <x:v>Electricity grid mix, consumption mix, at consumer, AC, 230V | DK | 6b588e76</x:v>
      </x:c>
      <x:c r="B195" s="36" t="str">
        <x:v>6b588e76-99dc-4c9a-aed7-a86bdb912d51</x:v>
      </x:c>
      <x:c r="C195" s="36" t="str">
        <x:v>Electricity grid mix, consumption mix, at consumer, AC, 230V</x:v>
      </x:c>
      <x:c r="D195" s="36" t="str">
        <x:v>DK</x:v>
      </x:c>
      <x:c r="E195" s="36" t="str">
        <x:v>ProcessType.LCI_RESULT</x:v>
      </x:c>
      <x:c r="F195" s="36" t="str"/>
      <x:c r="G195" s="36" t="str"/>
    </x:row>
    <x:row r="196">
      <x:c r="A196" s="36" t="str">
        <x:v>Compressed air, production mix, 14 bar, low efficiency, high power consumption | GLO | 6c7106ba</x:v>
      </x:c>
      <x:c r="B196" s="36" t="str">
        <x:v>6c7106ba-1039-42f7-a116-28cd4aa0664e</x:v>
      </x:c>
      <x:c r="C196" s="36" t="str">
        <x:v>Compressed air, production mix, 14 bar, low efficiency, high power consumption</x:v>
      </x:c>
      <x:c r="D196" s="36" t="str">
        <x:v>GLO</x:v>
      </x:c>
      <x:c r="E196" s="36" t="str">
        <x:v>ProcessType.UNIT_PROCESS</x:v>
      </x:c>
      <x:c r="F196" s="36" t="str"/>
      <x:c r="G196" s="36" t="str"/>
    </x:row>
    <x:row r="197">
      <x:c r="A197" s="36" t="str">
        <x:v>Electricity Mix, consumption mix, at consumer, AC, 1kV - 60kV | FI | 6dd69400</x:v>
      </x:c>
      <x:c r="B197" s="36" t="str">
        <x:v>6dd69400-9e1d-4376-a6f3-260877acd194</x:v>
      </x:c>
      <x:c r="C197" s="36" t="str">
        <x:v>Electricity Mix, consumption mix, at consumer, AC, 1kV - 60kV</x:v>
      </x:c>
      <x:c r="D197" s="36" t="str">
        <x:v>FI</x:v>
      </x:c>
      <x:c r="E197" s="36" t="str">
        <x:v>ProcessType.LCI_RESULT</x:v>
      </x:c>
      <x:c r="F197" s="36" t="str"/>
      <x:c r="G197" s="36" t="str"/>
    </x:row>
    <x:row r="198">
      <x:c r="A198" s="36" t="str">
        <x:v>Process steam from heavy fuel oil, consumption mix, at plant, heat plant, MJ | LV | 6e806596</x:v>
      </x:c>
      <x:c r="B198" s="36" t="str">
        <x:v>6e806596-477a-43c1-8716-0967937344ba</x:v>
      </x:c>
      <x:c r="C198" s="36" t="str">
        <x:v>Process steam from heavy fuel oil, consumption mix, at plant, heat plant, MJ</x:v>
      </x:c>
      <x:c r="D198" s="36" t="str">
        <x:v>LV</x:v>
      </x:c>
      <x:c r="E198" s="36" t="str">
        <x:v>ProcessType.LCI_RESULT</x:v>
      </x:c>
      <x:c r="F198" s="36" t="str"/>
      <x:c r="G198" s="36" t="str"/>
    </x:row>
    <x:row r="199">
      <x:c r="A199" s="36" t="str">
        <x:v>Polystyrene (general purpose) granulate (GPPS), production mix, at plant, crystal form is pure polystyrene with few additives, used when clarity is required even though it is very   brittle | RER | 6ed5e0f8</x:v>
      </x:c>
      <x:c r="B199" s="36" t="str">
        <x:v>6ed5e0f8-3914-4533-9beb-c93222bdb2cb</x:v>
      </x:c>
      <x:c r="C199" s="36" t="str">
        <x:v>Polystyrene (general purpose) granulate (GPPS), production mix, at plant, crystal form is pure polystyrene with few additives, used when clarity is required even though it is very   brittle</x:v>
      </x:c>
      <x:c r="D199" s="36" t="str">
        <x:v>RER</x:v>
      </x:c>
      <x:c r="E199" s="36" t="str">
        <x:v>ProcessType.LCI_RESULT</x:v>
      </x:c>
      <x:c r="F199" s="36" t="str"/>
      <x:c r="G199" s="36" t="str"/>
    </x:row>
    <x:row r="200">
      <x:c r="A200" s="36" t="str">
        <x:v>Container ship ocean, technology mix, 27.500 dwt pay load capacity | GLO | 6efc3814</x:v>
      </x:c>
      <x:c r="B200" s="36" t="str">
        <x:v>6efc3814-2cf9-4d18-894f-c869c3505341</x:v>
      </x:c>
      <x:c r="C200" s="36" t="str">
        <x:v>Container ship ocean, technology mix, 27.500 dwt pay load capacity</x:v>
      </x:c>
      <x:c r="D200" s="36" t="str">
        <x:v>GLO</x:v>
      </x:c>
      <x:c r="E200" s="36" t="str">
        <x:v>ProcessType.UNIT_PROCESS</x:v>
      </x:c>
      <x:c r="F200" s="36" t="str"/>
      <x:c r="G200" s="36" t="str"/>
    </x:row>
    <x:row r="201">
      <x:c r="A201" s="36" t="str">
        <x:v>Process steam from Light fuel oil 90 %, consumption mix, at power plant, heat plant, MJ, 90 % efficiency | DK | 6f6ad2b8</x:v>
      </x:c>
      <x:c r="B201" s="36" t="str">
        <x:v>6f6ad2b8-ef12-46a9-9aaa-41a09cdc87f8</x:v>
      </x:c>
      <x:c r="C201" s="36" t="str">
        <x:v>Process steam from Light fuel oil 90 %, consumption mix, at power plant, heat plant, MJ, 90 % efficiency</x:v>
      </x:c>
      <x:c r="D201" s="36" t="str">
        <x:v>DK</x:v>
      </x:c>
      <x:c r="E201" s="36" t="str">
        <x:v>ProcessType.LCI_RESULT</x:v>
      </x:c>
      <x:c r="F201" s="36" t="str"/>
      <x:c r="G201" s="36" t="str"/>
    </x:row>
    <x:row r="202">
      <x:c r="A202" s="36" t="str">
        <x:v>Electricity Mix, consumption mix, at consumer, AC, 1kV - 60kV | FR | 6f918155</x:v>
      </x:c>
      <x:c r="B202" s="36" t="str">
        <x:v>6f918155-8d6f-4d95-aaaa-eba7f2be25e2</x:v>
      </x:c>
      <x:c r="C202" s="36" t="str">
        <x:v>Electricity Mix, consumption mix, at consumer, AC, 1kV - 60kV</x:v>
      </x:c>
      <x:c r="D202" s="36" t="str">
        <x:v>FR</x:v>
      </x:c>
      <x:c r="E202" s="36" t="str">
        <x:v>ProcessType.LCI_RESULT</x:v>
      </x:c>
      <x:c r="F202" s="36" t="str"/>
      <x:c r="G202" s="36" t="str"/>
    </x:row>
    <x:row r="203">
      <x:c r="A203" s="36" t="str">
        <x:v>Process steam from natural gas, consumption mix, at plant, heat plant, MJ | GR | 6fa573e3</x:v>
      </x:c>
      <x:c r="B203" s="36" t="str">
        <x:v>6fa573e3-1df3-4f48-b4f3-20f3c51d7098</x:v>
      </x:c>
      <x:c r="C203" s="36" t="str">
        <x:v>Process steam from natural gas, consumption mix, at plant, heat plant, MJ</x:v>
      </x:c>
      <x:c r="D203" s="36" t="str">
        <x:v>GR</x:v>
      </x:c>
      <x:c r="E203" s="36" t="str">
        <x:v>ProcessType.LCI_RESULT</x:v>
      </x:c>
      <x:c r="F203" s="36" t="str"/>
      <x:c r="G203" s="36" t="str"/>
    </x:row>
    <x:row r="204">
      <x:c r="A204" s="36" t="str">
        <x:v>Kerosene, consumption mix, at refinery, from crude oil, 700 ppm sulphur | EU-15 | 701f8775</x:v>
      </x:c>
      <x:c r="B204" s="36" t="str">
        <x:v>701f8775-bd15-4b91-b3d0-43e7ee04044a</x:v>
      </x:c>
      <x:c r="C204" s="36" t="str">
        <x:v>Kerosene, consumption mix, at refinery, from crude oil, 700 ppm sulphur</x:v>
      </x:c>
      <x:c r="D204" s="36" t="str">
        <x:v>EU-15</x:v>
      </x:c>
      <x:c r="E204" s="36" t="str">
        <x:v>ProcessType.LCI_RESULT</x:v>
      </x:c>
      <x:c r="F204" s="36" t="str"/>
      <x:c r="G204" s="36" t="str"/>
    </x:row>
    <x:row r="205">
      <x:c r="A205" s="36" t="str">
        <x:v>Process steam from heavy fuel oil, consumption mix, at plant, heat plant, MJ | CY | 702f452f</x:v>
      </x:c>
      <x:c r="B205" s="36" t="str">
        <x:v>702f452f-5936-4f27-bf39-f9af8923fbe6</x:v>
      </x:c>
      <x:c r="C205" s="36" t="str">
        <x:v>Process steam from heavy fuel oil, consumption mix, at plant, heat plant, MJ</x:v>
      </x:c>
      <x:c r="D205" s="36" t="str">
        <x:v>CY</x:v>
      </x:c>
      <x:c r="E205" s="36" t="str">
        <x:v>ProcessType.LCI_RESULT</x:v>
      </x:c>
      <x:c r="F205" s="36" t="str"/>
      <x:c r="G205" s="36" t="str"/>
    </x:row>
    <x:row r="206">
      <x:c r="A206" s="36" t="str">
        <x:v>Electricity grid mix, consumption mix, at consumer, AC, 230V | GR | 7082a8ea</x:v>
      </x:c>
      <x:c r="B206" s="36" t="str">
        <x:v>7082a8ea-3655-4dcc-b40f-1c1d6f29d6b8</x:v>
      </x:c>
      <x:c r="C206" s="36" t="str">
        <x:v>Electricity grid mix, consumption mix, at consumer, AC, 230V</x:v>
      </x:c>
      <x:c r="D206" s="36" t="str">
        <x:v>GR</x:v>
      </x:c>
      <x:c r="E206" s="36" t="str">
        <x:v>ProcessType.LCI_RESULT</x:v>
      </x:c>
      <x:c r="F206" s="36" t="str"/>
      <x:c r="G206" s="36" t="str"/>
    </x:row>
    <x:row r="207">
      <x:c r="A207" s="36" t="str">
        <x:v>Process steam from natural gas 90 %, consumption mix, at power plant, heat plant, MJ, 90 % efficiency | FI | 709d5b4a</x:v>
      </x:c>
      <x:c r="B207" s="36" t="str">
        <x:v>709d5b4a-d428-4d77-a345-d2f1a7cbcea0</x:v>
      </x:c>
      <x:c r="C207" s="36" t="str">
        <x:v>Process steam from natural gas 90 %, consumption mix, at power plant, heat plant, MJ, 90 % efficiency</x:v>
      </x:c>
      <x:c r="D207" s="36" t="str">
        <x:v>FI</x:v>
      </x:c>
      <x:c r="E207" s="36" t="str">
        <x:v>ProcessType.LCI_RESULT</x:v>
      </x:c>
      <x:c r="F207" s="36" t="str"/>
      <x:c r="G207" s="36" t="str"/>
    </x:row>
    <x:row r="208">
      <x:c r="A208" s="36" t="str">
        <x:v>Electricity grid mix, consumption mix, at consumer, AC, 230V | SK | 7292f4ed</x:v>
      </x:c>
      <x:c r="B208" s="36" t="str">
        <x:v>7292f4ed-bb80-4d39-972d-971324b54dbb</x:v>
      </x:c>
      <x:c r="C208" s="36" t="str">
        <x:v>Electricity grid mix, consumption mix, at consumer, AC, 230V</x:v>
      </x:c>
      <x:c r="D208" s="36" t="str">
        <x:v>SK</x:v>
      </x:c>
      <x:c r="E208" s="36" t="str">
        <x:v>ProcessType.LCI_RESULT</x:v>
      </x:c>
      <x:c r="F208" s="36" t="str"/>
      <x:c r="G208" s="36" t="str"/>
    </x:row>
    <x:row r="209">
      <x:c r="A209" s="36" t="str">
        <x:v>corrugated board sheets, production mix, at plant, technology mix, 18% primary fibre, 82 % recycled fibre | EU-27 | 7311da1a</x:v>
      </x:c>
      <x:c r="B209" s="36" t="str">
        <x:v>7311da1a-673f-96b5-66ef-00004409928e</x:v>
      </x:c>
      <x:c r="C209" s="36" t="str">
        <x:v>corrugated board sheets, production mix, at plant, technology mix, 18% primary fibre, 82 % recycled fibre</x:v>
      </x:c>
      <x:c r="D209" s="36" t="str">
        <x:v>EU-27</x:v>
      </x:c>
      <x:c r="E209" s="36" t="str">
        <x:v>ProcessType.LCI_RESULT</x:v>
      </x:c>
      <x:c r="F209" s="36" t="str"/>
      <x:c r="G209" s="36" t="str"/>
    </x:row>
    <x:row r="210">
      <x:c r="A210" s="36" t="str">
        <x:v>Process steam from natural gas 90 %, consumption mix, at power plant, heat plant, MJ, 90 % efficiency | NL | 735b28f9</x:v>
      </x:c>
      <x:c r="B210" s="36" t="str">
        <x:v>735b28f9-593c-4ee2-a284-d9ac6a53798e</x:v>
      </x:c>
      <x:c r="C210" s="36" t="str">
        <x:v>Process steam from natural gas 90 %, consumption mix, at power plant, heat plant, MJ, 90 % efficiency</x:v>
      </x:c>
      <x:c r="D210" s="36" t="str">
        <x:v>NL</x:v>
      </x:c>
      <x:c r="E210" s="36" t="str">
        <x:v>ProcessType.LCI_RESULT</x:v>
      </x:c>
      <x:c r="F210" s="36" t="str"/>
      <x:c r="G210" s="36" t="str"/>
    </x:row>
    <x:row r="211">
      <x:c r="A211" s="36" t="str">
        <x:v>Nylon 66 granulate (PA 66), production mix, at plant | RER | 744e255f</x:v>
      </x:c>
      <x:c r="B211" s="36" t="str">
        <x:v>744e255f-3b81-4eed-b2d3-7794353e0efb</x:v>
      </x:c>
      <x:c r="C211" s="36" t="str">
        <x:v>Nylon 66 granulate (PA 66), production mix, at plant</x:v>
      </x:c>
      <x:c r="D211" s="36" t="str">
        <x:v>RER</x:v>
      </x:c>
      <x:c r="E211" s="36" t="str">
        <x:v>ProcessType.LCI_RESULT</x:v>
      </x:c>
      <x:c r="F211" s="36" t="str"/>
      <x:c r="G211" s="36" t="str"/>
    </x:row>
    <x:row r="212">
      <x:c r="A212" s="36" t="str">
        <x:v>Landfill of municipal solid waste, BE, DK technology mix, at landfill site, landfill including landfill gas utilisation and leachate treatment, without collection, transport and   pre-treatment | EU-27 | 76cda430</x:v>
      </x:c>
      <x:c r="B212" s="36" t="str">
        <x:v>76cda430-429d-11dd-ae16-0800200c9a66</x:v>
      </x:c>
      <x:c r="C212" s="36" t="str">
        <x:v>Landfill of municipal solid waste, BE, DK technology mix, at landfill site, landfill including landfill gas utilisation and leachate treatment, without collection, transport and   pre-treatment</x:v>
      </x:c>
      <x:c r="D212" s="36" t="str">
        <x:v>EU-27</x:v>
      </x:c>
      <x:c r="E212" s="36" t="str">
        <x:v>ProcessType.LCI_RESULT</x:v>
      </x:c>
      <x:c r="F212" s="36" t="str"/>
      <x:c r="G212" s="36" t="str"/>
    </x:row>
    <x:row r="213">
      <x:c r="A213" s="36" t="str">
        <x:v>Acrylonitrile-Butadiene-Styrene granulate (ABS), production mix, at plant | RER | 76d6aaa4</x:v>
      </x:c>
      <x:c r="B213" s="36" t="str">
        <x:v>76d6aaa4-37e2-40b2-994c-03292b600074</x:v>
      </x:c>
      <x:c r="C213" s="36" t="str">
        <x:v>Acrylonitrile-Butadiene-Styrene granulate (ABS), production mix, at plant</x:v>
      </x:c>
      <x:c r="D213" s="36" t="str">
        <x:v>RER</x:v>
      </x:c>
      <x:c r="E213" s="36" t="str">
        <x:v>ProcessType.LCI_RESULT</x:v>
      </x:c>
      <x:c r="F213" s="36" t="str"/>
      <x:c r="G213" s="36" t="str"/>
    </x:row>
    <x:row r="214">
      <x:c r="A214" s="36" t="str">
        <x:v>Electricity grid mix, consumption mix, at consumer, AC, 230V | IE | 77189b3a</x:v>
      </x:c>
      <x:c r="B214" s="36" t="str">
        <x:v>77189b3a-c5d6-41da-982a-aa992d29031f</x:v>
      </x:c>
      <x:c r="C214" s="36" t="str">
        <x:v>Electricity grid mix, consumption mix, at consumer, AC, 230V</x:v>
      </x:c>
      <x:c r="D214" s="36" t="str">
        <x:v>IE</x:v>
      </x:c>
      <x:c r="E214" s="36" t="str">
        <x:v>ProcessType.LCI_RESULT</x:v>
      </x:c>
      <x:c r="F214" s="36" t="str"/>
      <x:c r="G214" s="36" t="str"/>
    </x:row>
    <x:row r="215">
      <x:c r="A215" s="36" t="str">
        <x:v>Waste incineration of paper fraction in municipal solid waste (MSW), at plant, average European waste-to-energy plant, without collection, transport and pre-treatment | EU-27 | 77b31dcd</x:v>
      </x:c>
      <x:c r="B215" s="36" t="str">
        <x:v>77b31dcd-5acd-47bf-8b6e-d9eadfd8b136</x:v>
      </x:c>
      <x:c r="C215" s="36" t="str">
        <x:v>Waste incineration of paper fraction in municipal solid waste (MSW), at plant, average European waste-to-energy plant, without collection, transport and pre-treatment</x:v>
      </x:c>
      <x:c r="D215" s="36" t="str">
        <x:v>EU-27</x:v>
      </x:c>
      <x:c r="E215" s="36" t="str">
        <x:v>ProcessType.LCI_RESULT</x:v>
      </x:c>
      <x:c r="F215" s="36" t="str"/>
      <x:c r="G215" s="36" t="str"/>
    </x:row>
    <x:row r="216">
      <x:c r="A216" s="36" t="str">
        <x:v>Process steam from Light fuel oil 90 %, consumption mix, at power plant, heat plant, MJ, 90 % efficiency | PL | 77db0ef8</x:v>
      </x:c>
      <x:c r="B216" s="36" t="str">
        <x:v>77db0ef8-11a4-44eb-ba7f-88484cc61693</x:v>
      </x:c>
      <x:c r="C216" s="36" t="str">
        <x:v>Process steam from Light fuel oil 90 %, consumption mix, at power plant, heat plant, MJ, 90 % efficiency</x:v>
      </x:c>
      <x:c r="D216" s="36" t="str">
        <x:v>PL</x:v>
      </x:c>
      <x:c r="E216" s="36" t="str">
        <x:v>ProcessType.LCI_RESULT</x:v>
      </x:c>
      <x:c r="F216" s="36" t="str"/>
      <x:c r="G216" s="36" t="str"/>
    </x:row>
    <x:row r="217">
      <x:c r="A217" s="36" t="str">
        <x:v>Electricity Mix, consumption mix, at consumer, AC, 240V | MT | 792c15e6</x:v>
      </x:c>
      <x:c r="B217" s="36" t="str">
        <x:v>792c15e6-551f-4917-8975-77ad962d0e3f</x:v>
      </x:c>
      <x:c r="C217" s="36" t="str">
        <x:v>Electricity Mix, consumption mix, at consumer, AC, 240V</x:v>
      </x:c>
      <x:c r="D217" s="36" t="str">
        <x:v>MT</x:v>
      </x:c>
      <x:c r="E217" s="36" t="str">
        <x:v>ProcessType.LCI_RESULT</x:v>
      </x:c>
      <x:c r="F217" s="36" t="str"/>
      <x:c r="G217" s="36" t="str"/>
    </x:row>
    <x:row r="218">
      <x:c r="A218" s="36" t="str">
        <x:v>Electricity Mix, consumption mix, at consumer, AC, 220V | GR | 792de09a</x:v>
      </x:c>
      <x:c r="B218" s="36" t="str">
        <x:v>792de09a-4a8f-4e97-9305-a5da187411e6</x:v>
      </x:c>
      <x:c r="C218" s="36" t="str">
        <x:v>Electricity Mix, consumption mix, at consumer, AC, 220V</x:v>
      </x:c>
      <x:c r="D218" s="36" t="str">
        <x:v>GR</x:v>
      </x:c>
      <x:c r="E218" s="36" t="str">
        <x:v>ProcessType.LCI_RESULT</x:v>
      </x:c>
      <x:c r="F218" s="36" t="str"/>
      <x:c r="G218" s="36" t="str"/>
    </x:row>
    <x:row r="219">
      <x:c r="A219" s="36" t="str">
        <x:v>Process steam from Light fuel oil 90 %, consumption mix, at power plant, heat plant, MJ, 90 % efficiency | CY | 7a0faa75</x:v>
      </x:c>
      <x:c r="B219" s="36" t="str">
        <x:v>7a0faa75-e7f1-4333-bf27-f49d629a2553</x:v>
      </x:c>
      <x:c r="C219" s="36" t="str">
        <x:v>Process steam from Light fuel oil 90 %, consumption mix, at power plant, heat plant, MJ, 90 % efficiency</x:v>
      </x:c>
      <x:c r="D219" s="36" t="str">
        <x:v>CY</x:v>
      </x:c>
      <x:c r="E219" s="36" t="str">
        <x:v>ProcessType.LCI_RESULT</x:v>
      </x:c>
      <x:c r="F219" s="36" t="str"/>
      <x:c r="G219" s="36" t="str"/>
    </x:row>
    <x:row r="220">
      <x:c r="A220" s="36" t="str">
        <x:v>Rail transport, technology mix, electricity driven, cargo | GLO | 7a78c7a6</x:v>
      </x:c>
      <x:c r="B220" s="36" t="str">
        <x:v>7a78c7a6-c1d3-4909-9c98-f878eacee41b</x:v>
      </x:c>
      <x:c r="C220" s="36" t="str">
        <x:v>Rail transport, technology mix, electricity driven, cargo</x:v>
      </x:c>
      <x:c r="D220" s="36" t="str">
        <x:v>GLO</x:v>
      </x:c>
      <x:c r="E220" s="36" t="str">
        <x:v>ProcessType.UNIT_PROCESS</x:v>
      </x:c>
      <x:c r="F220" s="36" t="str"/>
      <x:c r="G220" s="36" t="str"/>
    </x:row>
    <x:row r="221">
      <x:c r="A221" s="36" t="str">
        <x:v>Process steam from natural gas, consumption mix, at plant, heat plant, MJ | GB | 7bb738bb</x:v>
      </x:c>
      <x:c r="B221" s="36" t="str">
        <x:v>7bb738bb-0976-4d80-9ec9-cce59b3b04da</x:v>
      </x:c>
      <x:c r="C221" s="36" t="str">
        <x:v>Process steam from natural gas, consumption mix, at plant, heat plant, MJ</x:v>
      </x:c>
      <x:c r="D221" s="36" t="str">
        <x:v>GB</x:v>
      </x:c>
      <x:c r="E221" s="36" t="str">
        <x:v>ProcessType.LCI_RESULT</x:v>
      </x:c>
      <x:c r="F221" s="36" t="str"/>
      <x:c r="G221" s="36" t="str"/>
    </x:row>
    <x:row r="222">
      <x:c r="A222" s="36" t="str">
        <x:v>Container ship ocean, technology mix, 27.500 dwt pay load capacity | RER | 7d4c6dee</x:v>
      </x:c>
      <x:c r="B222" s="36" t="str">
        <x:v>7d4c6dee-3d6b-4fbf-a496-2354450a1a14</x:v>
      </x:c>
      <x:c r="C222" s="36" t="str">
        <x:v>Container ship ocean, technology mix, 27.500 dwt pay load capacity</x:v>
      </x:c>
      <x:c r="D222" s="36" t="str">
        <x:v>RER</x:v>
      </x:c>
      <x:c r="E222" s="36" t="str">
        <x:v>ProcessType.LCI_RESULT</x:v>
      </x:c>
      <x:c r="F222" s="36" t="str"/>
      <x:c r="G222" s="36" t="str"/>
    </x:row>
    <x:row r="223">
      <x:c r="A223" s="36" t="str">
        <x:v>Liquid Packaging Board (LPB) production, production mix, at plant, production, mineral coated LPB (n=4), basis weight: 266 g/m2 | EU-27 | 7d580a76</x:v>
      </x:c>
      <x:c r="B223" s="36" t="str">
        <x:v>7d580a76-d2a4-46fe-a3a3-c6c8ed585382</x:v>
      </x:c>
      <x:c r="C223" s="36" t="str">
        <x:v>Liquid Packaging Board (LPB) production, production mix, at plant, production, mineral coated LPB (n=4), basis weight: 266 g/m2</x:v>
      </x:c>
      <x:c r="D223" s="36" t="str">
        <x:v>EU-27</x:v>
      </x:c>
      <x:c r="E223" s="36" t="str">
        <x:v>ProcessType.LCI_RESULT</x:v>
      </x:c>
      <x:c r="F223" s="36" t="str"/>
      <x:c r="G223" s="36" t="str"/>
    </x:row>
    <x:row r="224">
      <x:c r="A224" s="36" t="str">
        <x:v>Steel hot dip galvanized, including recycling, production mix, at plant, blast furnace route, 1kg, typical thickness between 0.3 - 3 mm. typical width between 600 - 2100 mm. | GLO | 7dcb51ef</x:v>
      </x:c>
      <x:c r="B224" s="36" t="str">
        <x:v>7dcb51ef-2d85-481c-b943-3b148d9f6500</x:v>
      </x:c>
      <x:c r="C224" s="36" t="str">
        <x:v>Steel hot dip galvanized, including recycling, production mix, at plant, blast furnace route, 1kg, typical thickness between 0.3 - 3 mm. typical width between 600 - 2100 mm.</x:v>
      </x:c>
      <x:c r="D224" s="36" t="str">
        <x:v>GLO</x:v>
      </x:c>
      <x:c r="E224" s="36" t="str">
        <x:v>ProcessType.LCI_RESULT</x:v>
      </x:c>
      <x:c r="F224" s="36" t="str"/>
      <x:c r="G224" s="36" t="str"/>
    </x:row>
    <x:row r="225">
      <x:c r="A225" s="36" t="str">
        <x:v>Electricity grid mix 1kV-60kV, consumption mix, at consumer, AC, 1kV - 60kV | DE | 7e00d0fc</x:v>
      </x:c>
      <x:c r="B225" s="36" t="str">
        <x:v>7e00d0fc-473a-4c90-89e5-0a586010bf31</x:v>
      </x:c>
      <x:c r="C225" s="36" t="str">
        <x:v>Electricity grid mix 1kV-60kV, consumption mix, at consumer, AC, 1kV - 60kV</x:v>
      </x:c>
      <x:c r="D225" s="36" t="str">
        <x:v>DE</x:v>
      </x:c>
      <x:c r="E225" s="36" t="str">
        <x:v>ProcessType.LCI_RESULT</x:v>
      </x:c>
      <x:c r="F225" s="36" t="str"/>
      <x:c r="G225" s="36" t="str"/>
    </x:row>
    <x:row r="226">
      <x:c r="A226" s="36" t="str">
        <x:v>Waste incineration of textile fraction in municipal solid waste (MSW), at plant, average European waste-to-energy plant, without collection, transport and pre-treatment | EU-27 | 7e2bfb23</x:v>
      </x:c>
      <x:c r="B226" s="36" t="str">
        <x:v>7e2bfb23-9f75-4976-af0a-1dfef7fb3ec3</x:v>
      </x:c>
      <x:c r="C226" s="36" t="str">
        <x:v>Waste incineration of textile fraction in municipal solid waste (MSW), at plant, average European waste-to-energy plant, without collection, transport and pre-treatment</x:v>
      </x:c>
      <x:c r="D226" s="36" t="str">
        <x:v>EU-27</x:v>
      </x:c>
      <x:c r="E226" s="36" t="str">
        <x:v>ProcessType.LCI_RESULT</x:v>
      </x:c>
      <x:c r="F226" s="36" t="str"/>
      <x:c r="G226" s="36" t="str"/>
    </x:row>
    <x:row r="227">
      <x:c r="A227" s="36" t="str">
        <x:v>Natural Gas Mix, consumption mix, at consumer, technology mix, onshore and offshore production incl. pipeline and LNG transprt | EU-27 | 7eb4828f</x:v>
      </x:c>
      <x:c r="B227" s="36" t="str">
        <x:v>7eb4828f-3191-4a18-ae67-313c2052bea8</x:v>
      </x:c>
      <x:c r="C227" s="36" t="str">
        <x:v>Natural Gas Mix, consumption mix, at consumer, technology mix, onshore and offshore production incl. pipeline and LNG transprt</x:v>
      </x:c>
      <x:c r="D227" s="36" t="str">
        <x:v>EU-27</x:v>
      </x:c>
      <x:c r="E227" s="36" t="str">
        <x:v>ProcessType.LCI_RESULT</x:v>
      </x:c>
      <x:c r="F227" s="36" t="str"/>
      <x:c r="G227" s="36" t="str"/>
    </x:row>
    <x:row r="228">
      <x:c r="A228" s="36" t="str">
        <x:v>Process steam from Heavy fuel oil 90 %, consumption mix, at power plant, heat plant, MJ, 90 % efficiency | BG | 7f1a5baf</x:v>
      </x:c>
      <x:c r="B228" s="36" t="str">
        <x:v>7f1a5baf-5be0-4581-beb9-e8786ed49cb3</x:v>
      </x:c>
      <x:c r="C228" s="36" t="str">
        <x:v>Process steam from Heavy fuel oil 90 %, consumption mix, at power plant, heat plant, MJ, 90 % efficiency</x:v>
      </x:c>
      <x:c r="D228" s="36" t="str">
        <x:v>BG</x:v>
      </x:c>
      <x:c r="E228" s="36" t="str">
        <x:v>ProcessType.LCI_RESULT</x:v>
      </x:c>
      <x:c r="F228" s="36" t="str"/>
      <x:c r="G228" s="36" t="str"/>
    </x:row>
    <x:row r="229">
      <x:c r="A229" s="36" t="str">
        <x:v>Electricity Mix, consumption mix, at consumer, AC, 1kV - 60kV | CH | 7f1de1fe</x:v>
      </x:c>
      <x:c r="B229" s="36" t="str">
        <x:v>7f1de1fe-d47c-4ab8-bfa8-cdb5018ed1f2</x:v>
      </x:c>
      <x:c r="C229" s="36" t="str">
        <x:v>Electricity Mix, consumption mix, at consumer, AC, 1kV - 60kV</x:v>
      </x:c>
      <x:c r="D229" s="36" t="str">
        <x:v>CH</x:v>
      </x:c>
      <x:c r="E229" s="36" t="str">
        <x:v>ProcessType.LCI_RESULT</x:v>
      </x:c>
      <x:c r="F229" s="36" t="str"/>
      <x:c r="G229" s="36" t="str"/>
    </x:row>
    <x:row r="230">
      <x:c r="A230" s="36" t="str">
        <x:v>Electricity Mix, consumption mix, at consumer, AC, 1kV - 60kV | RO | 7f44a654</x:v>
      </x:c>
      <x:c r="B230" s="36" t="str">
        <x:v>7f44a654-6903-49b8-b155-67f229248cac</x:v>
      </x:c>
      <x:c r="C230" s="36" t="str">
        <x:v>Electricity Mix, consumption mix, at consumer, AC, 1kV - 60kV</x:v>
      </x:c>
      <x:c r="D230" s="36" t="str">
        <x:v>RO</x:v>
      </x:c>
      <x:c r="E230" s="36" t="str">
        <x:v>ProcessType.LCI_RESULT</x:v>
      </x:c>
      <x:c r="F230" s="36" t="str"/>
      <x:c r="G230" s="36" t="str"/>
    </x:row>
    <x:row r="231">
      <x:c r="A231" s="36" t="str">
        <x:v>Copper wire; technology mix; market mix, at plant; cross section 1 mm, Technology and Market Mix for Wire fabrication representing main European production countries, Market Mix for Copper cathode in Europe (primary and secondary Cu cathode production... | EU-25 | 819e60d3</x:v>
      </x:c>
      <x:c r="B231" s="36" t="str">
        <x:v>819e60d3-2652-47de-9f0b-d3bf8a4e0ea9</x:v>
      </x:c>
      <x:c r="C231" s="36" t="str">
        <x:v>Copper wire; technology mix; market mix, at plant; cross section 1 mm, Technology and Market Mix for Wire fabrication representing main European production countries, Market Mix for Copper cathode in Europe (primary and secondary Cu cathode production...</x:v>
      </x:c>
      <x:c r="D231" s="36" t="str">
        <x:v>EU-25</x:v>
      </x:c>
      <x:c r="E231" s="36" t="str">
        <x:v>ProcessType.LCI_RESULT</x:v>
      </x:c>
      <x:c r="F231" s="36" t="str"/>
      <x:c r="G231" s="36" t="str"/>
    </x:row>
    <x:row r="232">
      <x:c r="A232" s="36" t="str">
        <x:v>Process steam from Light fuel oil 90 %, consumption mix, at power plant, heat plant, MJ, 90 % efficiency | GR | 8206f1af</x:v>
      </x:c>
      <x:c r="B232" s="36" t="str">
        <x:v>8206f1af-4e92-463e-ab31-cf6c7739e2de</x:v>
      </x:c>
      <x:c r="C232" s="36" t="str">
        <x:v>Process steam from Light fuel oil 90 %, consumption mix, at power plant, heat plant, MJ, 90 % efficiency</x:v>
      </x:c>
      <x:c r="D232" s="36" t="str">
        <x:v>GR</x:v>
      </x:c>
      <x:c r="E232" s="36" t="str">
        <x:v>ProcessType.LCI_RESULT</x:v>
      </x:c>
      <x:c r="F232" s="36" t="str"/>
      <x:c r="G232" s="36" t="str"/>
    </x:row>
    <x:row r="233">
      <x:c r="A233" s="36" t="str">
        <x:v>Electricity Mix, consumption mix, at consumer, AC, &lt; 1kV | UCTE | 83c1f02c</x:v>
      </x:c>
      <x:c r="B233" s="36" t="str">
        <x:v>83c1f02c-f2ef-4ac4-9a57-ac2172c38d15</x:v>
      </x:c>
      <x:c r="C233" s="36" t="str">
        <x:v>Electricity Mix, consumption mix, at consumer, AC, &lt; 1kV</x:v>
      </x:c>
      <x:c r="D233" s="36" t="str">
        <x:v>UCTE</x:v>
      </x:c>
      <x:c r="E233" s="36" t="str">
        <x:v>ProcessType.LCI_RESULT</x:v>
      </x:c>
      <x:c r="F233" s="36" t="str"/>
      <x:c r="G233" s="36" t="str"/>
    </x:row>
    <x:row r="234">
      <x:c r="A234" s="36" t="str">
        <x:v>Electricity grid mix 1kV-60kV, consumption mix, at consumer, AC, 1kV - 60kV | EU-27 | 83d4634c</x:v>
      </x:c>
      <x:c r="B234" s="36" t="str">
        <x:v>83d4634c-b70f-4bb3-8552-1cca6f6359b4</x:v>
      </x:c>
      <x:c r="C234" s="36" t="str">
        <x:v>Electricity grid mix 1kV-60kV, consumption mix, at consumer, AC, 1kV - 60kV</x:v>
      </x:c>
      <x:c r="D234" s="36" t="str">
        <x:v>EU-27</x:v>
      </x:c>
      <x:c r="E234" s="36" t="str">
        <x:v>ProcessType.LCI_RESULT</x:v>
      </x:c>
      <x:c r="F234" s="36" t="str"/>
      <x:c r="G234" s="36" t="str"/>
    </x:row>
    <x:row r="235">
      <x:c r="A235" s="36" t="str">
        <x:v>Polyethylene terephthalate (PET) granulate, production mix, at plant, bottle grade | RER | 84854d79</x:v>
      </x:c>
      <x:c r="B235" s="36" t="str">
        <x:v>84854d79-77da-4794-9d2a-f108f7e91741</x:v>
      </x:c>
      <x:c r="C235" s="36" t="str">
        <x:v>Polyethylene terephthalate (PET) granulate, production mix, at plant, bottle grade</x:v>
      </x:c>
      <x:c r="D235" s="36" t="str">
        <x:v>RER</x:v>
      </x:c>
      <x:c r="E235" s="36" t="str">
        <x:v>ProcessType.LCI_RESULT</x:v>
      </x:c>
      <x:c r="F235" s="36" t="str"/>
      <x:c r="G235" s="36" t="str"/>
    </x:row>
    <x:row r="236">
      <x:c r="A236" s="36" t="str">
        <x:v>Process steam from Heavy fuel oil 90 %, consumption mix, at power plant, heat plant, MJ, 90 % efficiency | PT | 84b9422e</x:v>
      </x:c>
      <x:c r="B236" s="36" t="str">
        <x:v>84b9422e-ad0b-4047-a9ef-e441022542af</x:v>
      </x:c>
      <x:c r="C236" s="36" t="str">
        <x:v>Process steam from Heavy fuel oil 90 %, consumption mix, at power plant, heat plant, MJ, 90 % efficiency</x:v>
      </x:c>
      <x:c r="D236" s="36" t="str">
        <x:v>PT</x:v>
      </x:c>
      <x:c r="E236" s="36" t="str">
        <x:v>ProcessType.LCI_RESULT</x:v>
      </x:c>
      <x:c r="F236" s="36" t="str"/>
      <x:c r="G236" s="36" t="str"/>
    </x:row>
    <x:row r="237">
      <x:c r="A237" s="36" t="str">
        <x:v>Sodium chloride (NaCl, dissolved), production mix for PVC production, at plant | RER | 84d5e0e5</x:v>
      </x:c>
      <x:c r="B237" s="36" t="str">
        <x:v>84d5e0e5-cc4b-49ff-a9c4-dc5c2b06351d</x:v>
      </x:c>
      <x:c r="C237" s="36" t="str">
        <x:v>Sodium chloride (NaCl, dissolved), production mix for PVC production, at plant</x:v>
      </x:c>
      <x:c r="D237" s="36" t="str">
        <x:v>RER</x:v>
      </x:c>
      <x:c r="E237" s="36" t="str">
        <x:v>ProcessType.LCI_RESULT</x:v>
      </x:c>
      <x:c r="F237" s="36" t="str"/>
      <x:c r="G237" s="36" t="str"/>
    </x:row>
    <x:row r="238">
      <x:c r="A238" s="36" t="str">
        <x:v>Process steam from heavy fuel oil, consumption mix, at plant, heat plant, MJ | BE | 84ea1afa</x:v>
      </x:c>
      <x:c r="B238" s="36" t="str">
        <x:v>84ea1afa-4d04-4c83-8d7e-4fcc82e5f356</x:v>
      </x:c>
      <x:c r="C238" s="36" t="str">
        <x:v>Process steam from heavy fuel oil, consumption mix, at plant, heat plant, MJ</x:v>
      </x:c>
      <x:c r="D238" s="36" t="str">
        <x:v>BE</x:v>
      </x:c>
      <x:c r="E238" s="36" t="str">
        <x:v>ProcessType.LCI_RESULT</x:v>
      </x:c>
      <x:c r="F238" s="36" t="str"/>
      <x:c r="G238" s="36" t="str"/>
    </x:row>
    <x:row r="239">
      <x:c r="A239" s="36" t="str">
        <x:v>Waste incineration of ferro metals, at plant, average European waste-to-energy plant, without collection, transport and pre-treatment | EU-27 | 870ed176</x:v>
      </x:c>
      <x:c r="B239" s="36" t="str">
        <x:v>870ed176-3e13-4baa-8488-bbc3c9579ec5</x:v>
      </x:c>
      <x:c r="C239" s="36" t="str">
        <x:v>Waste incineration of ferro metals, at plant, average European waste-to-energy plant, without collection, transport and pre-treatment</x:v>
      </x:c>
      <x:c r="D239" s="36" t="str">
        <x:v>EU-27</x:v>
      </x:c>
      <x:c r="E239" s="36" t="str">
        <x:v>ProcessType.LCI_RESULT</x:v>
      </x:c>
      <x:c r="F239" s="36" t="str"/>
      <x:c r="G239" s="36" t="str"/>
    </x:row>
    <x:row r="240">
      <x:c r="A240" s="36" t="str">
        <x:v>Process steam from Heavy fuel oil 90 %, consumption mix, at power plant, heat plant, MJ, 90 % efficiency | HU | 8842dd51</x:v>
      </x:c>
      <x:c r="B240" s="36" t="str">
        <x:v>8842dd51-2603-4192-99d3-d734a1967dc8</x:v>
      </x:c>
      <x:c r="C240" s="36" t="str">
        <x:v>Process steam from Heavy fuel oil 90 %, consumption mix, at power plant, heat plant, MJ, 90 % efficiency</x:v>
      </x:c>
      <x:c r="D240" s="36" t="str">
        <x:v>HU</x:v>
      </x:c>
      <x:c r="E240" s="36" t="str">
        <x:v>ProcessType.LCI_RESULT</x:v>
      </x:c>
      <x:c r="F240" s="36" t="str"/>
      <x:c r="G240" s="36" t="str"/>
    </x:row>
    <x:row r="241">
      <x:c r="A241" s="36" t="str">
        <x:v>Electricity Mix, consumption mix, at consumer, AC, 1kV - 60kV | GR | 88f51b8a</x:v>
      </x:c>
      <x:c r="B241" s="36" t="str">
        <x:v>88f51b8a-3e69-4213-9f65-760723f2ca40</x:v>
      </x:c>
      <x:c r="C241" s="36" t="str">
        <x:v>Electricity Mix, consumption mix, at consumer, AC, 1kV - 60kV</x:v>
      </x:c>
      <x:c r="D241" s="36" t="str">
        <x:v>GR</x:v>
      </x:c>
      <x:c r="E241" s="36" t="str">
        <x:v>ProcessType.LCI_RESULT</x:v>
      </x:c>
      <x:c r="F241" s="36" t="str"/>
      <x:c r="G241" s="36" t="str"/>
    </x:row>
    <x:row r="242">
      <x:c r="A242" s="36" t="str">
        <x:v>Pre-cast concrete, production mix, at plant, minimum reinforcement, concrete type C20/25, without consideration of casings | RER | 898618b0</x:v>
      </x:c>
      <x:c r="B242" s="36" t="str">
        <x:v>898618b0-3306-11dd-bd11-0800200c9a66</x:v>
      </x:c>
      <x:c r="C242" s="36" t="str">
        <x:v>Pre-cast concrete, production mix, at plant, minimum reinforcement, concrete type C20/25, without consideration of casings</x:v>
      </x:c>
      <x:c r="D242" s="36" t="str">
        <x:v>RER</x:v>
      </x:c>
      <x:c r="E242" s="36" t="str">
        <x:v>ProcessType.LCI_RESULT</x:v>
      </x:c>
      <x:c r="F242" s="36" t="str"/>
      <x:c r="G242" s="36" t="str"/>
    </x:row>
    <x:row r="243">
      <x:c r="A243" s="36" t="str">
        <x:v>Sand 0/2, production mix, at plant, wet and dry quarry, undried | RER | 898618b1</x:v>
      </x:c>
      <x:c r="B243" s="36" t="str">
        <x:v>898618b1-3306-11dd-bd11-0800200c9a66</x:v>
      </x:c>
      <x:c r="C243" s="36" t="str">
        <x:v>Sand 0/2, production mix, at plant, wet and dry quarry, undried</x:v>
      </x:c>
      <x:c r="D243" s="36" t="str">
        <x:v>RER</x:v>
      </x:c>
      <x:c r="E243" s="36" t="str">
        <x:v>ProcessType.LCI_RESULT</x:v>
      </x:c>
      <x:c r="F243" s="36" t="str"/>
      <x:c r="G243" s="36" t="str"/>
    </x:row>
    <x:row r="244">
      <x:c r="A244" s="36" t="str">
        <x:v>Gravel 2/32, production mix, at plant, wet and dry quarry, undried | RER | 898618b2</x:v>
      </x:c>
      <x:c r="B244" s="36" t="str">
        <x:v>898618b2-3306-11dd-bd11-0800200c9a66</x:v>
      </x:c>
      <x:c r="C244" s="36" t="str">
        <x:v>Gravel 2/32, production mix, at plant, wet and dry quarry, undried</x:v>
      </x:c>
      <x:c r="D244" s="36" t="str">
        <x:v>RER</x:v>
      </x:c>
      <x:c r="E244" s="36" t="str">
        <x:v>ProcessType.LCI_RESULT</x:v>
      </x:c>
      <x:c r="F244" s="36" t="str"/>
      <x:c r="G244" s="36" t="str"/>
    </x:row>
    <x:row r="245">
      <x:c r="A245" s="36" t="str">
        <x:v>Crushed stone 16/32, production mix, at plant, open pit mining, undried | RER | 898618b3</x:v>
      </x:c>
      <x:c r="B245" s="36" t="str">
        <x:v>898618b3-3306-11dd-bd11-0800200c9a66</x:v>
      </x:c>
      <x:c r="C245" s="36" t="str">
        <x:v>Crushed stone 16/32, production mix, at plant, open pit mining, undried</x:v>
      </x:c>
      <x:c r="D245" s="36" t="str">
        <x:v>RER</x:v>
      </x:c>
      <x:c r="E245" s="36" t="str">
        <x:v>ProcessType.LCI_RESULT</x:v>
      </x:c>
      <x:c r="F245" s="36" t="str"/>
      <x:c r="G245" s="36" t="str"/>
    </x:row>
    <x:row r="246">
      <x:c r="A246" s="36" t="str">
        <x:v>Aerated concrete block, production mix, at plant, mix of P2 04 and P4 05, average density 433 kg/m3 | RER | 898618b5</x:v>
      </x:c>
      <x:c r="B246" s="36" t="str">
        <x:v>898618b5-3306-11dd-bd11-0800200c9a66</x:v>
      </x:c>
      <x:c r="C246" s="36" t="str">
        <x:v>Aerated concrete block, production mix, at plant, mix of P2 04 and P4 05, average density 433 kg/m3</x:v>
      </x:c>
      <x:c r="D246" s="36" t="str">
        <x:v>RER</x:v>
      </x:c>
      <x:c r="E246" s="36" t="str">
        <x:v>ProcessType.LCI_RESULT</x:v>
      </x:c>
      <x:c r="F246" s="36" t="str"/>
      <x:c r="G246" s="36" t="str"/>
    </x:row>
    <x:row r="247">
      <x:c r="A247" s="36" t="str">
        <x:v>Lightweight concrete block, production mix, at plant, expanded clay as base material | RER | 898618b6</x:v>
      </x:c>
      <x:c r="B247" s="36" t="str">
        <x:v>898618b6-3306-11dd-bd11-0800200c9a66</x:v>
      </x:c>
      <x:c r="C247" s="36" t="str">
        <x:v>Lightweight concrete block, production mix, at plant, expanded clay as base material</x:v>
      </x:c>
      <x:c r="D247" s="36" t="str">
        <x:v>RER</x:v>
      </x:c>
      <x:c r="E247" s="36" t="str">
        <x:v>ProcessType.LCI_RESULT</x:v>
      </x:c>
      <x:c r="F247" s="36" t="str"/>
      <x:c r="G247" s="36" t="str"/>
    </x:row>
    <x:row r="248">
      <x:c r="A248" s="36" t="str">
        <x:v>Calcium silicate, production mix, at plant, blocks and elements, density 1400 to 2000 kg/m3 | RER | 898618b7</x:v>
      </x:c>
      <x:c r="B248" s="36" t="str">
        <x:v>898618b7-3306-11dd-bd11-0800200c9a66</x:v>
      </x:c>
      <x:c r="C248" s="36" t="str">
        <x:v>Calcium silicate, production mix, at plant, blocks and elements, density 1400 to 2000 kg/m3</x:v>
      </x:c>
      <x:c r="D248" s="36" t="str">
        <x:v>RER</x:v>
      </x:c>
      <x:c r="E248" s="36" t="str">
        <x:v>ProcessType.LCI_RESULT</x:v>
      </x:c>
      <x:c r="F248" s="36" t="str"/>
      <x:c r="G248" s="36" t="str"/>
    </x:row>
    <x:row r="249">
      <x:c r="A249" s="36" t="str">
        <x:v>Glass wool, production mix, at plant, fleece, density between 10 to 100 kg/m3 | RER | 898618b8</x:v>
      </x:c>
      <x:c r="B249" s="36" t="str">
        <x:v>898618b8-3306-11dd-bd11-0800200c9a66</x:v>
      </x:c>
      <x:c r="C249" s="36" t="str">
        <x:v>Glass wool, production mix, at plant, fleece, density between 10 to 100 kg/m3</x:v>
      </x:c>
      <x:c r="D249" s="36" t="str">
        <x:v>RER</x:v>
      </x:c>
      <x:c r="E249" s="36" t="str">
        <x:v>ProcessType.LCI_RESULT</x:v>
      </x:c>
      <x:c r="F249" s="36" t="str"/>
      <x:c r="G249" s="36" t="str"/>
    </x:row>
    <x:row r="250">
      <x:c r="A250" s="36" t="str">
        <x:v>Rock wool, production mix, at plant, fleece, density between 30 to 180 kg/m3 | RER | 898618b9</x:v>
      </x:c>
      <x:c r="B250" s="36" t="str">
        <x:v>898618b9-3306-11dd-bd11-0800200c9a66</x:v>
      </x:c>
      <x:c r="C250" s="36" t="str">
        <x:v>Rock wool, production mix, at plant, fleece, density between 30 to 180 kg/m3</x:v>
      </x:c>
      <x:c r="D250" s="36" t="str">
        <x:v>RER</x:v>
      </x:c>
      <x:c r="E250" s="36" t="str">
        <x:v>ProcessType.LCI_RESULT</x:v>
      </x:c>
      <x:c r="F250" s="36" t="str"/>
      <x:c r="G250" s="36" t="str"/>
    </x:row>
    <x:row r="251">
      <x:c r="A251" s="36" t="str">
        <x:v>Waste incineration of municipal solid waste (MSW), at plant, average European waste-to-energy plant, without collection, transport and pre-treatment | EU-27 | 898618ba</x:v>
      </x:c>
      <x:c r="B251" s="36" t="str">
        <x:v>898618ba-3306-11dd-bd11-0800200c9a66</x:v>
      </x:c>
      <x:c r="C251" s="36" t="str">
        <x:v>Waste incineration of municipal solid waste (MSW), at plant, average European waste-to-energy plant, without collection, transport and pre-treatment</x:v>
      </x:c>
      <x:c r="D251" s="36" t="str">
        <x:v>EU-27</x:v>
      </x:c>
      <x:c r="E251" s="36" t="str">
        <x:v>ProcessType.LCI_RESULT</x:v>
      </x:c>
      <x:c r="F251" s="36" t="str"/>
      <x:c r="G251" s="36" t="str"/>
    </x:row>
    <x:row r="252">
      <x:c r="A252" s="36" t="str">
        <x:v>Waste incineration of paper fraction in municipal solid waste (MSW), at plant, average European waste-to-energy plant, without collection, transport and pre-treatment | EU-27 | 898618bb</x:v>
      </x:c>
      <x:c r="B252" s="36" t="str">
        <x:v>898618bb-3306-11dd-bd11-0800200c9a66</x:v>
      </x:c>
      <x:c r="C252" s="36" t="str">
        <x:v>Waste incineration of paper fraction in municipal solid waste (MSW), at plant, average European waste-to-energy plant, without collection, transport and pre-treatment</x:v>
      </x:c>
      <x:c r="D252" s="36" t="str">
        <x:v>EU-27</x:v>
      </x:c>
      <x:c r="E252" s="36" t="str">
        <x:v>ProcessType.LCI_RESULT</x:v>
      </x:c>
      <x:c r="F252" s="36" t="str"/>
      <x:c r="G252" s="36" t="str"/>
    </x:row>
    <x:row r="253">
      <x:c r="A253" s="36" t="str">
        <x:v>Waste incineration of biodegradable waste fraction in municipal solid waste (MSW), at plant, average European waste-to-energy plant, without collection, transport and pre-treatment | EU-27 | 898618bc</x:v>
      </x:c>
      <x:c r="B253" s="36" t="str">
        <x:v>898618bc-3306-11dd-bd11-0800200c9a66</x:v>
      </x:c>
      <x:c r="C253" s="36" t="str">
        <x:v>Waste incineration of biodegradable waste fraction in municipal solid waste (MSW), at plant, average European waste-to-energy plant, without collection, transport and pre-treatment</x:v>
      </x:c>
      <x:c r="D253" s="36" t="str">
        <x:v>EU-27</x:v>
      </x:c>
      <x:c r="E253" s="36" t="str">
        <x:v>ProcessType.LCI_RESULT</x:v>
      </x:c>
      <x:c r="F253" s="36" t="str"/>
      <x:c r="G253" s="36" t="str"/>
    </x:row>
    <x:row r="254">
      <x:c r="A254" s="36" t="str">
        <x:v>Waste incineration of textile fraction in municipal solid waste (MSW), at plant, average European waste-to-energy plant, without collection, transport and pre-treatment | EU-27 | 89863fc0</x:v>
      </x:c>
      <x:c r="B254" s="36" t="str">
        <x:v>89863fc0-3306-11dd-bd11-0800200c9a66</x:v>
      </x:c>
      <x:c r="C254" s="36" t="str">
        <x:v>Waste incineration of textile fraction in municipal solid waste (MSW), at plant, average European waste-to-energy plant, without collection, transport and pre-treatment</x:v>
      </x:c>
      <x:c r="D254" s="36" t="str">
        <x:v>EU-27</x:v>
      </x:c>
      <x:c r="E254" s="36" t="str">
        <x:v>ProcessType.LCI_RESULT</x:v>
      </x:c>
      <x:c r="F254" s="36" t="str"/>
      <x:c r="G254" s="36" t="str"/>
    </x:row>
    <x:row r="255">
      <x:c r="A255" s="36" t="str">
        <x:v>Waste incineration of plastics (unspecified) fraction in municipal solid waste (MSW), at plant, average European waste-to-energy plant, without collection, transport and pre-treatment | EU-27 | 89863fc1</x:v>
      </x:c>
      <x:c r="B255" s="36" t="str">
        <x:v>89863fc1-3306-11dd-bd11-0800200c9a66</x:v>
      </x:c>
      <x:c r="C255" s="36" t="str">
        <x:v>Waste incineration of plastics (unspecified) fraction in municipal solid waste (MSW), at plant, average European waste-to-energy plant, without collection, transport and pre-treatment</x:v>
      </x:c>
      <x:c r="D255" s="36" t="str">
        <x:v>EU-27</x:v>
      </x:c>
      <x:c r="E255" s="36" t="str">
        <x:v>ProcessType.LCI_RESULT</x:v>
      </x:c>
      <x:c r="F255" s="36" t="str"/>
      <x:c r="G255" s="36" t="str"/>
    </x:row>
    <x:row r="256">
      <x:c r="A256" s="36" t="str">
        <x:v>Waste incineration of plastics (PE, PP, PS, PB), at plant, average European waste-to-energy plant, without collection, transport and pre-treatment | EU-27 | 89863fc2</x:v>
      </x:c>
      <x:c r="B256" s="36" t="str">
        <x:v>89863fc2-3306-11dd-bd11-0800200c9a66</x:v>
      </x:c>
      <x:c r="C256" s="36" t="str">
        <x:v>Waste incineration of plastics (PE, PP, PS, PB), at plant, average European waste-to-energy plant, without collection, transport and pre-treatment</x:v>
      </x:c>
      <x:c r="D256" s="36" t="str">
        <x:v>EU-27</x:v>
      </x:c>
      <x:c r="E256" s="36" t="str">
        <x:v>ProcessType.LCI_RESULT</x:v>
      </x:c>
      <x:c r="F256" s="36" t="str"/>
      <x:c r="G256" s="36" t="str"/>
    </x:row>
    <x:row r="257">
      <x:c r="A257" s="36" t="str">
        <x:v>Waste incineration of plastics (PET, PMMA, PC), at plant, average European waste-to-energy plant, without collection, transport and pre-treatment | EU-27 | 89863fc3</x:v>
      </x:c>
      <x:c r="B257" s="36" t="str">
        <x:v>89863fc3-3306-11dd-bd11-0800200c9a66</x:v>
      </x:c>
      <x:c r="C257" s="36" t="str">
        <x:v>Waste incineration of plastics (PET, PMMA, PC), at plant, average European waste-to-energy plant, without collection, transport and pre-treatment</x:v>
      </x:c>
      <x:c r="D257" s="36" t="str">
        <x:v>EU-27</x:v>
      </x:c>
      <x:c r="E257" s="36" t="str">
        <x:v>ProcessType.LCI_RESULT</x:v>
      </x:c>
      <x:c r="F257" s="36" t="str"/>
      <x:c r="G257" s="36" t="str"/>
    </x:row>
    <x:row r="258">
      <x:c r="A258" s="36" t="str">
        <x:v>Waste incineration of plastics (Nylon 6, Nylon 66, PAN), at plant, average European waste-to-energy plant, without collection, transport and pre-treatment | EU-27 | 89863fc4</x:v>
      </x:c>
      <x:c r="B258" s="36" t="str">
        <x:v>89863fc4-3306-11dd-bd11-0800200c9a66</x:v>
      </x:c>
      <x:c r="C258" s="36" t="str">
        <x:v>Waste incineration of plastics (Nylon 6, Nylon 66, PAN), at plant, average European waste-to-energy plant, without collection, transport and pre-treatment</x:v>
      </x:c>
      <x:c r="D258" s="36" t="str">
        <x:v>EU-27</x:v>
      </x:c>
      <x:c r="E258" s="36" t="str">
        <x:v>ProcessType.LCI_RESULT</x:v>
      </x:c>
      <x:c r="F258" s="36" t="str"/>
      <x:c r="G258" s="36" t="str"/>
    </x:row>
    <x:row r="259">
      <x:c r="A259" s="36" t="str">
        <x:v>Waste incineration of plastics (Nylon 6 GF 30, Nylon 66 GF 30), at plant, average European waste-to-energy plant, without collection, transport and pre-treatment | EU-27 | 89863fc5</x:v>
      </x:c>
      <x:c r="B259" s="36" t="str">
        <x:v>89863fc5-3306-11dd-bd11-0800200c9a66</x:v>
      </x:c>
      <x:c r="C259" s="36" t="str">
        <x:v>Waste incineration of plastics (Nylon 6 GF 30, Nylon 66 GF 30), at plant, average European waste-to-energy plant, without collection, transport and pre-treatment</x:v>
      </x:c>
      <x:c r="D259" s="36" t="str">
        <x:v>EU-27</x:v>
      </x:c>
      <x:c r="E259" s="36" t="str">
        <x:v>ProcessType.LCI_RESULT</x:v>
      </x:c>
      <x:c r="F259" s="36" t="str"/>
      <x:c r="G259" s="36" t="str"/>
    </x:row>
    <x:row r="260">
      <x:c r="A260" s="36" t="str">
        <x:v>Waste incineration of plastics (rigid PVC), at plant, average European waste-to-energy plant, without collection, transport and pre-treatment | EU-27 | 89863fc6</x:v>
      </x:c>
      <x:c r="B260" s="36" t="str">
        <x:v>89863fc6-3306-11dd-bd11-0800200c9a66</x:v>
      </x:c>
      <x:c r="C260" s="36" t="str">
        <x:v>Waste incineration of plastics (rigid PVC), at plant, average European waste-to-energy plant, without collection, transport and pre-treatment</x:v>
      </x:c>
      <x:c r="D260" s="36" t="str">
        <x:v>EU-27</x:v>
      </x:c>
      <x:c r="E260" s="36" t="str">
        <x:v>ProcessType.LCI_RESULT</x:v>
      </x:c>
      <x:c r="F260" s="36" t="str"/>
      <x:c r="G260" s="36" t="str"/>
    </x:row>
    <x:row r="261">
      <x:c r="A261" s="36" t="str">
        <x:v>Waste incineration of ferro metals, at plant, average European waste-to-energy plant, without collection, transport and pre-treatment | EU-27 | 89863fc7</x:v>
      </x:c>
      <x:c r="B261" s="36" t="str">
        <x:v>89863fc7-3306-11dd-bd11-0800200c9a66</x:v>
      </x:c>
      <x:c r="C261" s="36" t="str">
        <x:v>Waste incineration of ferro metals, at plant, average European waste-to-energy plant, without collection, transport and pre-treatment</x:v>
      </x:c>
      <x:c r="D261" s="36" t="str">
        <x:v>EU-27</x:v>
      </x:c>
      <x:c r="E261" s="36" t="str">
        <x:v>ProcessType.LCI_RESULT</x:v>
      </x:c>
      <x:c r="F261" s="36" t="str"/>
      <x:c r="G261" s="36" t="str"/>
    </x:row>
    <x:row r="262">
      <x:c r="A262" s="36" t="str">
        <x:v>Waste incineration of glass/inert material, at plant, average European waste-to-energy plant, without collection, transport and pre-treatment | EU-27 | 89863fc8</x:v>
      </x:c>
      <x:c r="B262" s="36" t="str">
        <x:v>89863fc8-3306-11dd-bd11-0800200c9a66</x:v>
      </x:c>
      <x:c r="C262" s="36" t="str">
        <x:v>Waste incineration of glass/inert material, at plant, average European waste-to-energy plant, without collection, transport and pre-treatment</x:v>
      </x:c>
      <x:c r="D262" s="36" t="str">
        <x:v>EU-27</x:v>
      </x:c>
      <x:c r="E262" s="36" t="str">
        <x:v>ProcessType.LCI_RESULT</x:v>
      </x:c>
      <x:c r="F262" s="36" t="str"/>
      <x:c r="G262" s="36" t="str"/>
    </x:row>
    <x:row r="263">
      <x:c r="A263" s="36" t="str">
        <x:v>Waste incineration of untreated wood (10,7% water content), at plant, average European waste-to-energy plant, without collection, transport and pre-treatment | EU-27 | 89863fc9</x:v>
      </x:c>
      <x:c r="B263" s="36" t="str">
        <x:v>89863fc9-3306-11dd-bd11-0800200c9a66</x:v>
      </x:c>
      <x:c r="C263" s="36" t="str">
        <x:v>Waste incineration of untreated wood (10,7% water content), at plant, average European waste-to-energy plant, without collection, transport and pre-treatment</x:v>
      </x:c>
      <x:c r="D263" s="36" t="str">
        <x:v>EU-27</x:v>
      </x:c>
      <x:c r="E263" s="36" t="str">
        <x:v>ProcessType.LCI_RESULT</x:v>
      </x:c>
      <x:c r="F263" s="36" t="str"/>
      <x:c r="G263" s="36" t="str"/>
    </x:row>
    <x:row r="264">
      <x:c r="A264" s="36" t="str">
        <x:v>Waste incineration of wood products (OSB, particle board), at plant, average European waste-to-energy plant, without collection, transport and pre-treatment | EU-27 | 89863fca</x:v>
      </x:c>
      <x:c r="B264" s="36" t="str">
        <x:v>89863fca-3306-11dd-bd11-0800200c9a66</x:v>
      </x:c>
      <x:c r="C264" s="36" t="str">
        <x:v>Waste incineration of wood products (OSB, particle board), at plant, average European waste-to-energy plant, without collection, transport and pre-treatment</x:v>
      </x:c>
      <x:c r="D264" s="36" t="str">
        <x:v>EU-27</x:v>
      </x:c>
      <x:c r="E264" s="36" t="str">
        <x:v>ProcessType.LCI_RESULT</x:v>
      </x:c>
      <x:c r="F264" s="36" t="str"/>
      <x:c r="G264" s="36" t="str"/>
    </x:row>
    <x:row r="265">
      <x:c r="A265" s="36" t="str">
        <x:v>Landfill of municipal solid waste, AT, DE, IT, LU, NL, SE, CH technology mix, at landfill site, landfill including landfill gas utilisation and leachate treatment, without collection, transport and   pre-treatment | EU-27 | 89863fcb</x:v>
      </x:c>
      <x:c r="B265" s="36" t="str">
        <x:v>89863fcb-3306-11dd-bd11-0800200c9a66</x:v>
      </x:c>
      <x:c r="C265" s="36" t="str">
        <x:v>Landfill of municipal solid waste, AT, DE, IT, LU, NL, SE, CH technology mix, at landfill site, landfill including landfill gas utilisation and leachate treatment, without collection, transport and   pre-treatment</x:v>
      </x:c>
      <x:c r="D265" s="36" t="str">
        <x:v>EU-27</x:v>
      </x:c>
      <x:c r="E265" s="36" t="str">
        <x:v>ProcessType.LCI_RESULT</x:v>
      </x:c>
      <x:c r="F265" s="36" t="str"/>
      <x:c r="G265" s="36" t="str"/>
    </x:row>
    <x:row r="266">
      <x:c r="A266" s="36" t="str">
        <x:v>Landfill of municipal solid waste, ES, GR, PT technology mix, at landfill site, landfill including landfill gas utilisation and leachate treatment, without collection, transport and   pre-treatment | EU-27 | 89863fcc</x:v>
      </x:c>
      <x:c r="B266" s="36" t="str">
        <x:v>89863fcc-3306-11dd-bd11-0800200c9a66</x:v>
      </x:c>
      <x:c r="C266" s="36" t="str">
        <x:v>Landfill of municipal solid waste, ES, GR, PT technology mix, at landfill site, landfill including landfill gas utilisation and leachate treatment, without collection, transport and   pre-treatment</x:v>
      </x:c>
      <x:c r="D266" s="36" t="str">
        <x:v>EU-27</x:v>
      </x:c>
      <x:c r="E266" s="36" t="str">
        <x:v>ProcessType.LCI_RESULT</x:v>
      </x:c>
      <x:c r="F266" s="36" t="str"/>
      <x:c r="G266" s="36" t="str"/>
    </x:row>
    <x:row r="267">
      <x:c r="A267" s="36" t="str">
        <x:v>Landfill of municipal solid waste, FR, GB, IE, FI, NO technology mix, at landfill site, landfill including landfill gas utilisation and leachate treatment, without collection, transport and   pre-treatment | EU-27 | 89863fcd</x:v>
      </x:c>
      <x:c r="B267" s="36" t="str">
        <x:v>89863fcd-3306-11dd-bd11-0800200c9a66</x:v>
      </x:c>
      <x:c r="C267" s="36" t="str">
        <x:v>Landfill of municipal solid waste, FR, GB, IE, FI, NO technology mix, at landfill site, landfill including landfill gas utilisation and leachate treatment, without collection, transport and   pre-treatment</x:v>
      </x:c>
      <x:c r="D267" s="36" t="str">
        <x:v>EU-27</x:v>
      </x:c>
      <x:c r="E267" s="36" t="str">
        <x:v>ProcessType.LCI_RESULT</x:v>
      </x:c>
      <x:c r="F267" s="36" t="str"/>
      <x:c r="G267" s="36" t="str"/>
    </x:row>
    <x:row r="268">
      <x:c r="A268" s="36" t="str">
        <x:v>Landfill of paper waste, at landfill site, landfill including landfill gas utilisation and leachate treatment and without collection, transport and   pre-treatment | EU-27 | 89863fce</x:v>
      </x:c>
      <x:c r="B268" s="36" t="str">
        <x:v>89863fce-3306-11dd-bd11-0800200c9a66</x:v>
      </x:c>
      <x:c r="C268" s="36" t="str">
        <x:v>Landfill of paper waste, at landfill site, landfill including landfill gas utilisation and leachate treatment and without collection, transport and   pre-treatment</x:v>
      </x:c>
      <x:c r="D268" s="36" t="str">
        <x:v>EU-27</x:v>
      </x:c>
      <x:c r="E268" s="36" t="str">
        <x:v>ProcessType.LCI_RESULT</x:v>
      </x:c>
      <x:c r="F268" s="36" t="str"/>
      <x:c r="G268" s="36" t="str"/>
    </x:row>
    <x:row r="269">
      <x:c r="A269" s="36" t="str">
        <x:v>Landfill of biodegradable waste, at landfill site, landfill including landfill gas utilisation and leachate treatment and without collection, transport and   pre-treatment | EU-27 | 89863fcf</x:v>
      </x:c>
      <x:c r="B269" s="36" t="str">
        <x:v>89863fcf-3306-11dd-bd11-0800200c9a66</x:v>
      </x:c>
      <x:c r="C269" s="36" t="str">
        <x:v>Landfill of biodegradable waste, at landfill site, landfill including landfill gas utilisation and leachate treatment and without collection, transport and   pre-treatment</x:v>
      </x:c>
      <x:c r="D269" s="36" t="str">
        <x:v>EU-27</x:v>
      </x:c>
      <x:c r="E269" s="36" t="str">
        <x:v>ProcessType.LCI_RESULT</x:v>
      </x:c>
      <x:c r="F269" s="36" t="str"/>
      <x:c r="G269" s="36" t="str"/>
    </x:row>
    <x:row r="270">
      <x:c r="A270" s="36" t="str">
        <x:v>Landfill of textiles, at landfill site, landfill including landfill gas utilisation and leachate treatment and without collection, transport and   pre-treatment | EU-27 | 89863fd0</x:v>
      </x:c>
      <x:c r="B270" s="36" t="str">
        <x:v>89863fd0-3306-11dd-bd11-0800200c9a66</x:v>
      </x:c>
      <x:c r="C270" s="36" t="str">
        <x:v>Landfill of textiles, at landfill site, landfill including landfill gas utilisation and leachate treatment and without collection, transport and   pre-treatment</x:v>
      </x:c>
      <x:c r="D270" s="36" t="str">
        <x:v>EU-27</x:v>
      </x:c>
      <x:c r="E270" s="36" t="str">
        <x:v>ProcessType.LCI_RESULT</x:v>
      </x:c>
      <x:c r="F270" s="36" t="str"/>
      <x:c r="G270" s="36" t="str"/>
    </x:row>
    <x:row r="271">
      <x:c r="A271" s="36" t="str">
        <x:v>Process steam from heavy fuel oil, consumption mix, at plant, heat plant, MJ | FI | 8aaae512</x:v>
      </x:c>
      <x:c r="B271" s="36" t="str">
        <x:v>8aaae512-4eee-43be-b0ca-48589ca0b4fa</x:v>
      </x:c>
      <x:c r="C271" s="36" t="str">
        <x:v>Process steam from heavy fuel oil, consumption mix, at plant, heat plant, MJ</x:v>
      </x:c>
      <x:c r="D271" s="36" t="str">
        <x:v>FI</x:v>
      </x:c>
      <x:c r="E271" s="36" t="str">
        <x:v>ProcessType.LCI_RESULT</x:v>
      </x:c>
      <x:c r="F271" s="36" t="str"/>
      <x:c r="G271" s="36" t="str"/>
    </x:row>
    <x:row r="272">
      <x:c r="A272" s="36" t="str">
        <x:v>Process steam from heavy fuel oil, consumption mix, at plant, heat plant, MJ | NL | 8af3c6cb</x:v>
      </x:c>
      <x:c r="B272" s="36" t="str">
        <x:v>8af3c6cb-51bd-436b-8f49-2d8223cb3089</x:v>
      </x:c>
      <x:c r="C272" s="36" t="str">
        <x:v>Process steam from heavy fuel oil, consumption mix, at plant, heat plant, MJ</x:v>
      </x:c>
      <x:c r="D272" s="36" t="str">
        <x:v>NL</x:v>
      </x:c>
      <x:c r="E272" s="36" t="str">
        <x:v>ProcessType.LCI_RESULT</x:v>
      </x:c>
      <x:c r="F272" s="36" t="str"/>
      <x:c r="G272" s="36" t="str"/>
    </x:row>
    <x:row r="273">
      <x:c r="A273" s="36" t="str">
        <x:v>Electricity grid mix 1kV-60kV, consumption mix, at consumer, AC, 1kV - 60kV | PL | 8afa7a0b</x:v>
      </x:c>
      <x:c r="B273" s="36" t="str">
        <x:v>8afa7a0b-e347-4de6-be55-5924ff61c03d</x:v>
      </x:c>
      <x:c r="C273" s="36" t="str">
        <x:v>Electricity grid mix 1kV-60kV, consumption mix, at consumer, AC, 1kV - 60kV</x:v>
      </x:c>
      <x:c r="D273" s="36" t="str">
        <x:v>PL</x:v>
      </x:c>
      <x:c r="E273" s="36" t="str">
        <x:v>ProcessType.LCI_RESULT</x:v>
      </x:c>
      <x:c r="F273" s="36" t="str"/>
      <x:c r="G273" s="36" t="str"/>
    </x:row>
    <x:row r="274">
      <x:c r="A274" s="36" t="str">
        <x:v>Gypsum plaster (CaSO4 alpha hemihydrates), production mix, at plant, via calcination of calcium sulphate dihydrate, grinded and purified product | DE | 8b190559</x:v>
      </x:c>
      <x:c r="B274" s="36" t="str">
        <x:v>8b190559-3845-4ba8-a9a6-77ca998b38b1</x:v>
      </x:c>
      <x:c r="C274" s="36" t="str">
        <x:v>Gypsum plaster (CaSO4 alpha hemihydrates), production mix, at plant, via calcination of calcium sulphate dihydrate, grinded and purified product</x:v>
      </x:c>
      <x:c r="D274" s="36" t="str">
        <x:v>DE</x:v>
      </x:c>
      <x:c r="E274" s="36" t="str">
        <x:v>ProcessType.LCI_RESULT</x:v>
      </x:c>
      <x:c r="F274" s="36" t="str"/>
      <x:c r="G274" s="36" t="str"/>
    </x:row>
    <x:row r="275">
      <x:c r="A275" s="36" t="str">
        <x:v>Process steam from heavy fuel oil, consumption mix, at plant, heat plant, MJ | LT | 8be5a4bb</x:v>
      </x:c>
      <x:c r="B275" s="36" t="str">
        <x:v>8be5a4bb-2a5d-41a7-88e0-700a2424e906</x:v>
      </x:c>
      <x:c r="C275" s="36" t="str">
        <x:v>Process steam from heavy fuel oil, consumption mix, at plant, heat plant, MJ</x:v>
      </x:c>
      <x:c r="D275" s="36" t="str">
        <x:v>LT</x:v>
      </x:c>
      <x:c r="E275" s="36" t="str">
        <x:v>ProcessType.LCI_RESULT</x:v>
      </x:c>
      <x:c r="F275" s="36" t="str"/>
      <x:c r="G275" s="36" t="str"/>
    </x:row>
    <x:row r="276">
      <x:c r="A276" s="36" t="str">
        <x:v>Process steam from light fuel oil, consumption mix, at plant, heat plant, MJ | EU-27 | 8d84ad61</x:v>
      </x:c>
      <x:c r="B276" s="36" t="str">
        <x:v>8d84ad61-928c-4be3-92b3-82e57da1ee51</x:v>
      </x:c>
      <x:c r="C276" s="36" t="str">
        <x:v>Process steam from light fuel oil, consumption mix, at plant, heat plant, MJ</x:v>
      </x:c>
      <x:c r="D276" s="36" t="str">
        <x:v>EU-27</x:v>
      </x:c>
      <x:c r="E276" s="36" t="str">
        <x:v>ProcessType.LCI_RESULT</x:v>
      </x:c>
      <x:c r="F276" s="36" t="str"/>
      <x:c r="G276" s="36" t="str"/>
    </x:row>
    <x:row r="277">
      <x:c r="A277" s="36" t="str">
        <x:v>Process steam from Heavy fuel oil 90 %, consumption mix, at power plant, heat plant, MJ, 90 % efficiency | RO | 8e353488</x:v>
      </x:c>
      <x:c r="B277" s="36" t="str">
        <x:v>8e353488-37db-4973-b2bd-857338193063</x:v>
      </x:c>
      <x:c r="C277" s="36" t="str">
        <x:v>Process steam from Heavy fuel oil 90 %, consumption mix, at power plant, heat plant, MJ, 90 % efficiency</x:v>
      </x:c>
      <x:c r="D277" s="36" t="str">
        <x:v>RO</x:v>
      </x:c>
      <x:c r="E277" s="36" t="str">
        <x:v>ProcessType.LCI_RESULT</x:v>
      </x:c>
      <x:c r="F277" s="36" t="str"/>
      <x:c r="G277" s="36" t="str"/>
    </x:row>
    <x:row r="278">
      <x:c r="A278" s="36" t="str">
        <x:v>Electricity grid mix, consumption mix, at consumer, AC, 230V | LT | 8f3cf12d</x:v>
      </x:c>
      <x:c r="B278" s="36" t="str">
        <x:v>8f3cf12d-1b4f-468e-ab0e-f1a35412b199</x:v>
      </x:c>
      <x:c r="C278" s="36" t="str">
        <x:v>Electricity grid mix, consumption mix, at consumer, AC, 230V</x:v>
      </x:c>
      <x:c r="D278" s="36" t="str">
        <x:v>LT</x:v>
      </x:c>
      <x:c r="E278" s="36" t="str">
        <x:v>ProcessType.LCI_RESULT</x:v>
      </x:c>
      <x:c r="F278" s="36" t="str"/>
      <x:c r="G278" s="36" t="str"/>
    </x:row>
    <x:row r="279">
      <x:c r="A279" s="36" t="str">
        <x:v>Process steam from Heavy fuel oil 90 %, consumption mix, at power plant, heat plant, MJ, 90 % efficiency | GB | 8f9131e5</x:v>
      </x:c>
      <x:c r="B279" s="36" t="str">
        <x:v>8f9131e5-909b-4481-8b28-703056976a71</x:v>
      </x:c>
      <x:c r="C279" s="36" t="str">
        <x:v>Process steam from Heavy fuel oil 90 %, consumption mix, at power plant, heat plant, MJ, 90 % efficiency</x:v>
      </x:c>
      <x:c r="D279" s="36" t="str">
        <x:v>GB</x:v>
      </x:c>
      <x:c r="E279" s="36" t="str">
        <x:v>ProcessType.LCI_RESULT</x:v>
      </x:c>
      <x:c r="F279" s="36" t="str"/>
      <x:c r="G279" s="36" t="str"/>
    </x:row>
    <x:row r="280">
      <x:c r="A280" s="36" t="str">
        <x:v>Pine log with bark, production mix entry to saw mill, at plant, refostered managed forest, 44% water content | DE | 8fd15266</x:v>
      </x:c>
      <x:c r="B280" s="36" t="str">
        <x:v>8fd15266-4930-4a33-b9c2-e8698923132d</x:v>
      </x:c>
      <x:c r="C280" s="36" t="str">
        <x:v>Pine log with bark, production mix entry to saw mill, at plant, refostered managed forest, 44% water content</x:v>
      </x:c>
      <x:c r="D280" s="36" t="str">
        <x:v>DE</x:v>
      </x:c>
      <x:c r="E280" s="36" t="str">
        <x:v>ProcessType.LCI_RESULT</x:v>
      </x:c>
      <x:c r="F280" s="36" t="str"/>
      <x:c r="G280" s="36" t="str"/>
    </x:row>
    <x:row r="281">
      <x:c r="A281" s="36" t="str">
        <x:v>Process steam from natural gas 90 %, consumption mix, at power plant, heat plant, MJ, 90 % efficiency | IT | 90568196</x:v>
      </x:c>
      <x:c r="B281" s="36" t="str">
        <x:v>90568196-9e1b-4eb4-8033-068c9351adea</x:v>
      </x:c>
      <x:c r="C281" s="36" t="str">
        <x:v>Process steam from natural gas 90 %, consumption mix, at power plant, heat plant, MJ, 90 % efficiency</x:v>
      </x:c>
      <x:c r="D281" s="36" t="str">
        <x:v>IT</x:v>
      </x:c>
      <x:c r="E281" s="36" t="str">
        <x:v>ProcessType.LCI_RESULT</x:v>
      </x:c>
      <x:c r="F281" s="36" t="str"/>
      <x:c r="G281" s="36" t="str"/>
    </x:row>
    <x:row r="282">
      <x:c r="A282" s="36" t="str">
        <x:v>Electricity grid mix 1kV-60kV, consumption mix, at consumer, AC, 1kV - 60kV | FR | 905c6c3a</x:v>
      </x:c>
      <x:c r="B282" s="36" t="str">
        <x:v>905c6c3a-2a45-4568-ab2f-95fe1c7b4526</x:v>
      </x:c>
      <x:c r="C282" s="36" t="str">
        <x:v>Electricity grid mix 1kV-60kV, consumption mix, at consumer, AC, 1kV - 60kV</x:v>
      </x:c>
      <x:c r="D282" s="36" t="str">
        <x:v>FR</x:v>
      </x:c>
      <x:c r="E282" s="36" t="str">
        <x:v>ProcessType.LCI_RESULT</x:v>
      </x:c>
      <x:c r="F282" s="36" t="str"/>
      <x:c r="G282" s="36" t="str"/>
    </x:row>
    <x:row r="283">
      <x:c r="A283" s="36" t="str">
        <x:v>Process steam from Heavy fuel oil 90 %, consumption mix, at power plant, heat plant, MJ, 90 % efficiency | FI | 90681af1</x:v>
      </x:c>
      <x:c r="B283" s="36" t="str">
        <x:v>90681af1-335d-4b2c-8a18-446f79a35b25</x:v>
      </x:c>
      <x:c r="C283" s="36" t="str">
        <x:v>Process steam from Heavy fuel oil 90 %, consumption mix, at power plant, heat plant, MJ, 90 % efficiency</x:v>
      </x:c>
      <x:c r="D283" s="36" t="str">
        <x:v>FI</x:v>
      </x:c>
      <x:c r="E283" s="36" t="str">
        <x:v>ProcessType.LCI_RESULT</x:v>
      </x:c>
      <x:c r="F283" s="36" t="str"/>
      <x:c r="G283" s="36" t="str"/>
    </x:row>
    <x:row r="284">
      <x:c r="A284" s="36" t="str">
        <x:v>Light fuel oil, consumption mix, at refinery, from crude oil, 2000 ppm sulphur | EU-15 | 909c9a65</x:v>
      </x:c>
      <x:c r="B284" s="36" t="str">
        <x:v>909c9a65-3b16-4923-9c91-fe585ca9d194</x:v>
      </x:c>
      <x:c r="C284" s="36" t="str">
        <x:v>Light fuel oil, consumption mix, at refinery, from crude oil, 2000 ppm sulphur</x:v>
      </x:c>
      <x:c r="D284" s="36" t="str">
        <x:v>EU-15</x:v>
      </x:c>
      <x:c r="E284" s="36" t="str">
        <x:v>ProcessType.LCI_RESULT</x:v>
      </x:c>
      <x:c r="F284" s="36" t="str"/>
      <x:c r="G284" s="36" t="str"/>
    </x:row>
    <x:row r="285">
      <x:c r="A285" s="36" t="str">
        <x:v>Electricity grid mix 1kV-60kV, consumption mix, at consumer, AC, 1kV - 60kV | RO | 90d398a8</x:v>
      </x:c>
      <x:c r="B285" s="36" t="str">
        <x:v>90d398a8-7869-4dd0-8248-8e92129feea4</x:v>
      </x:c>
      <x:c r="C285" s="36" t="str">
        <x:v>Electricity grid mix 1kV-60kV, consumption mix, at consumer, AC, 1kV - 60kV</x:v>
      </x:c>
      <x:c r="D285" s="36" t="str">
        <x:v>RO</x:v>
      </x:c>
      <x:c r="E285" s="36" t="str">
        <x:v>ProcessType.LCI_RESULT</x:v>
      </x:c>
      <x:c r="F285" s="36" t="str"/>
      <x:c r="G285" s="36" t="str"/>
    </x:row>
    <x:row r="286">
      <x:c r="A286" s="36" t="str">
        <x:v>Process steam from natural gas 90%, consumption mix, at power plant, heat plant, MJ, 90 % efficiency | EU-27 | 90fd9728</x:v>
      </x:c>
      <x:c r="B286" s="36" t="str">
        <x:v>90fd9728-e56b-4a82-b631-7d32572036f9</x:v>
      </x:c>
      <x:c r="C286" s="36" t="str">
        <x:v>Process steam from natural gas 90%, consumption mix, at power plant, heat plant, MJ, 90 % efficiency</x:v>
      </x:c>
      <x:c r="D286" s="36" t="str">
        <x:v>EU-27</x:v>
      </x:c>
      <x:c r="E286" s="36" t="str">
        <x:v>ProcessType.LCI_RESULT</x:v>
      </x:c>
      <x:c r="F286" s="36" t="str"/>
      <x:c r="G286" s="36" t="str"/>
    </x:row>
    <x:row r="287">
      <x:c r="A287" s="36" t="str">
        <x:v>Process Steam from Light fuel oil 90 %, consumption mix, at power plant, heat plant, MJ, 90 % efficiency | SE | 915e5c5e</x:v>
      </x:c>
      <x:c r="B287" s="36" t="str">
        <x:v>915e5c5e-8e4b-4990-bee9-038293fd9d60</x:v>
      </x:c>
      <x:c r="C287" s="36" t="str">
        <x:v>Process Steam from Light fuel oil 90 %, consumption mix, at power plant, heat plant, MJ, 90 % efficiency</x:v>
      </x:c>
      <x:c r="D287" s="36" t="str">
        <x:v>SE</x:v>
      </x:c>
      <x:c r="E287" s="36" t="str">
        <x:v>ProcessType.LCI_RESULT</x:v>
      </x:c>
      <x:c r="F287" s="36" t="str"/>
      <x:c r="G287" s="36" t="str"/>
    </x:row>
    <x:row r="288">
      <x:c r="A288" s="36" t="str">
        <x:v>Electricity grid mix 1kV-60kV, consumption mix, at consumer, AC, 1kV - 60kV | CH | 91923998</x:v>
      </x:c>
      <x:c r="B288" s="36" t="str">
        <x:v>91923998-4b7d-4822-b68e-2c11939ce912</x:v>
      </x:c>
      <x:c r="C288" s="36" t="str">
        <x:v>Electricity grid mix 1kV-60kV, consumption mix, at consumer, AC, 1kV - 60kV</x:v>
      </x:c>
      <x:c r="D288" s="36" t="str">
        <x:v>CH</x:v>
      </x:c>
      <x:c r="E288" s="36" t="str">
        <x:v>ProcessType.LCI_RESULT</x:v>
      </x:c>
      <x:c r="F288" s="36" t="str"/>
      <x:c r="G288" s="36" t="str"/>
    </x:row>
    <x:row r="289">
      <x:c r="A289" s="36" t="str">
        <x:v>Process steam from heavy fuel oil, consumption mix, at plant, heat plant, MJ | IT | 933a1490</x:v>
      </x:c>
      <x:c r="B289" s="36" t="str">
        <x:v>933a1490-7356-40c7-bcfb-800c6c4dcb79</x:v>
      </x:c>
      <x:c r="C289" s="36" t="str">
        <x:v>Process steam from heavy fuel oil, consumption mix, at plant, heat plant, MJ</x:v>
      </x:c>
      <x:c r="D289" s="36" t="str">
        <x:v>IT</x:v>
      </x:c>
      <x:c r="E289" s="36" t="str">
        <x:v>ProcessType.LCI_RESULT</x:v>
      </x:c>
      <x:c r="F289" s="36" t="str"/>
      <x:c r="G289" s="36" t="str"/>
    </x:row>
    <x:row r="290">
      <x:c r="A290" s="36" t="str">
        <x:v>Chlorine, production mix for PVC production, at plant | RER | 945256f7</x:v>
      </x:c>
      <x:c r="B290" s="36" t="str">
        <x:v>945256f7-e041-46c8-b3bb-0d447d4b398b</x:v>
      </x:c>
      <x:c r="C290" s="36" t="str">
        <x:v>Chlorine, production mix for PVC production, at plant</x:v>
      </x:c>
      <x:c r="D290" s="36" t="str">
        <x:v>RER</x:v>
      </x:c>
      <x:c r="E290" s="36" t="str">
        <x:v>ProcessType.LCI_RESULT</x:v>
      </x:c>
      <x:c r="F290" s="36" t="str"/>
      <x:c r="G290" s="36" t="str"/>
    </x:row>
    <x:row r="291">
      <x:c r="A291" s="36" t="str">
        <x:v>Process steam from light fuel oil, consumption mix, at plant, heat plant, MJ | CZ | 952ccd7f</x:v>
      </x:c>
      <x:c r="B291" s="36" t="str">
        <x:v>952ccd7f-dc94-4f84-b2cf-007ef682f3f6</x:v>
      </x:c>
      <x:c r="C291" s="36" t="str">
        <x:v>Process steam from light fuel oil, consumption mix, at plant, heat plant, MJ</x:v>
      </x:c>
      <x:c r="D291" s="36" t="str">
        <x:v>CZ</x:v>
      </x:c>
      <x:c r="E291" s="36" t="str">
        <x:v>ProcessType.LCI_RESULT</x:v>
      </x:c>
      <x:c r="F291" s="36" t="str"/>
      <x:c r="G291" s="36" t="str"/>
    </x:row>
    <x:row r="292">
      <x:c r="A292" s="36" t="str">
        <x:v>Electricity from wind power, production mix, at power plant, AC, &lt;1kV | RER | 961e7883</x:v>
      </x:c>
      <x:c r="B292" s="36" t="str">
        <x:v>961e7883-e692-4560-917f-a6a690a3fb6f</x:v>
      </x:c>
      <x:c r="C292" s="36" t="str">
        <x:v>Electricity from wind power, production mix, at power plant, AC, &lt;1kV</x:v>
      </x:c>
      <x:c r="D292" s="36" t="str">
        <x:v>RER</x:v>
      </x:c>
      <x:c r="E292" s="36" t="str">
        <x:v>ProcessType.LCI_RESULT</x:v>
      </x:c>
      <x:c r="F292" s="36" t="str"/>
      <x:c r="G292" s="36" t="str"/>
    </x:row>
    <x:row r="293">
      <x:c r="A293" s="36" t="str">
        <x:v>Waste incineration of plastics (rigid PVC), at plant, average European waste-to-energy plant, without collection, transport and pre-treatment | EU-27 | 962fee73</x:v>
      </x:c>
      <x:c r="B293" s="36" t="str">
        <x:v>962fee73-e692-4ae2-812d-ffac7edce7ba</x:v>
      </x:c>
      <x:c r="C293" s="36" t="str">
        <x:v>Waste incineration of plastics (rigid PVC), at plant, average European waste-to-energy plant, without collection, transport and pre-treatment</x:v>
      </x:c>
      <x:c r="D293" s="36" t="str">
        <x:v>EU-27</x:v>
      </x:c>
      <x:c r="E293" s="36" t="str">
        <x:v>ProcessType.LCI_RESULT</x:v>
      </x:c>
      <x:c r="F293" s="36" t="str"/>
      <x:c r="G293" s="36" t="str"/>
    </x:row>
    <x:row r="294">
      <x:c r="A294" s="36" t="str">
        <x:v>Electricity grid mix 1kV-60kV, consumption mix, at consumer, AC, 1kV - 60kV | ES | 964c0681</x:v>
      </x:c>
      <x:c r="B294" s="36" t="str">
        <x:v>964c0681-d96b-4acb-ba0b-645c00968e84</x:v>
      </x:c>
      <x:c r="C294" s="36" t="str">
        <x:v>Electricity grid mix 1kV-60kV, consumption mix, at consumer, AC, 1kV - 60kV</x:v>
      </x:c>
      <x:c r="D294" s="36" t="str">
        <x:v>ES</x:v>
      </x:c>
      <x:c r="E294" s="36" t="str">
        <x:v>ProcessType.LCI_RESULT</x:v>
      </x:c>
      <x:c r="F294" s="36" t="str"/>
      <x:c r="G294" s="36" t="str"/>
    </x:row>
    <x:row r="295">
      <x:c r="A295" s="36" t="str">
        <x:v>Electricity grid mix 1kV-60kV, consumption mix, at consumer, AC, 1kV - 60kV | PT | 9810b455</x:v>
      </x:c>
      <x:c r="B295" s="36" t="str">
        <x:v>9810b455-d6be-49a7-9370-3c5d247a0e0f</x:v>
      </x:c>
      <x:c r="C295" s="36" t="str">
        <x:v>Electricity grid mix 1kV-60kV, consumption mix, at consumer, AC, 1kV - 60kV</x:v>
      </x:c>
      <x:c r="D295" s="36" t="str">
        <x:v>PT</x:v>
      </x:c>
      <x:c r="E295" s="36" t="str">
        <x:v>ProcessType.LCI_RESULT</x:v>
      </x:c>
      <x:c r="F295" s="36" t="str"/>
      <x:c r="G295" s="36" t="str"/>
    </x:row>
    <x:row r="296">
      <x:c r="A296" s="36" t="str">
        <x:v>Process steam from heavy fuel oil, consumption mix, at plant, heat plant, MJ | EE | 98289d8c</x:v>
      </x:c>
      <x:c r="B296" s="36" t="str">
        <x:v>98289d8c-cbfb-438a-978a-598b1357e0f4</x:v>
      </x:c>
      <x:c r="C296" s="36" t="str">
        <x:v>Process steam from heavy fuel oil, consumption mix, at plant, heat plant, MJ</x:v>
      </x:c>
      <x:c r="D296" s="36" t="str">
        <x:v>EE</x:v>
      </x:c>
      <x:c r="E296" s="36" t="str">
        <x:v>ProcessType.LCI_RESULT</x:v>
      </x:c>
      <x:c r="F296" s="36" t="str"/>
      <x:c r="G296" s="36" t="str"/>
    </x:row>
    <x:row r="297">
      <x:c r="A297" s="36" t="str">
        <x:v>Process steam from natural gas, consumption mix, at plant, heat plant, MJ | FR | 986c3234</x:v>
      </x:c>
      <x:c r="B297" s="36" t="str">
        <x:v>986c3234-9ed9-46c3-9b71-abe9f10c77a6</x:v>
      </x:c>
      <x:c r="C297" s="36" t="str">
        <x:v>Process steam from natural gas, consumption mix, at plant, heat plant, MJ</x:v>
      </x:c>
      <x:c r="D297" s="36" t="str">
        <x:v>FR</x:v>
      </x:c>
      <x:c r="E297" s="36" t="str">
        <x:v>ProcessType.LCI_RESULT</x:v>
      </x:c>
      <x:c r="F297" s="36" t="str"/>
      <x:c r="G297" s="36" t="str"/>
    </x:row>
    <x:row r="298">
      <x:c r="A298" s="36" t="str">
        <x:v>Process steam from natural gas 90 %, consumption mix, at power plant, heat plant, MJ, 90 % efficiency | LU | 98a55c0e</x:v>
      </x:c>
      <x:c r="B298" s="36" t="str">
        <x:v>98a55c0e-2196-4fae-8e8e-283696169beb</x:v>
      </x:c>
      <x:c r="C298" s="36" t="str">
        <x:v>Process steam from natural gas 90 %, consumption mix, at power plant, heat plant, MJ, 90 % efficiency</x:v>
      </x:c>
      <x:c r="D298" s="36" t="str">
        <x:v>LU</x:v>
      </x:c>
      <x:c r="E298" s="36" t="str">
        <x:v>ProcessType.LCI_RESULT</x:v>
      </x:c>
      <x:c r="F298" s="36" t="str"/>
      <x:c r="G298" s="36" t="str"/>
    </x:row>
    <x:row r="299">
      <x:c r="A299" s="36" t="str">
        <x:v>Electricity from hydroelectric power plants, production mix, at power plant, AC, &lt; 1kV | RER | 99aa831c</x:v>
      </x:c>
      <x:c r="B299" s="36" t="str">
        <x:v>99aa831c-4c28-438f-a87a-82382f5ef5df</x:v>
      </x:c>
      <x:c r="C299" s="36" t="str">
        <x:v>Electricity from hydroelectric power plants, production mix, at power plant, AC, &lt; 1kV</x:v>
      </x:c>
      <x:c r="D299" s="36" t="str">
        <x:v>RER</x:v>
      </x:c>
      <x:c r="E299" s="36" t="str">
        <x:v>ProcessType.LCI_RESULT</x:v>
      </x:c>
      <x:c r="F299" s="36" t="str"/>
      <x:c r="G299" s="36" t="str"/>
    </x:row>
    <x:row r="300">
      <x:c r="A300" s="36" t="str">
        <x:v>Process steam from Light fuel oil 90 %, consumption mix, at power plant, heat plant, MJ, 90 % efficiency | NL | 9a97696f</x:v>
      </x:c>
      <x:c r="B300" s="36" t="str">
        <x:v>9a97696f-2ad0-4f29-8adc-774f42a91056</x:v>
      </x:c>
      <x:c r="C300" s="36" t="str">
        <x:v>Process steam from Light fuel oil 90 %, consumption mix, at power plant, heat plant, MJ, 90 % efficiency</x:v>
      </x:c>
      <x:c r="D300" s="36" t="str">
        <x:v>NL</x:v>
      </x:c>
      <x:c r="E300" s="36" t="str">
        <x:v>ProcessType.LCI_RESULT</x:v>
      </x:c>
      <x:c r="F300" s="36" t="str"/>
      <x:c r="G300" s="36" t="str"/>
    </x:row>
    <x:row r="301">
      <x:c r="A301" s="36" t="str">
        <x:v>Steel sections, including recycling, production mix, at plant, blast furnace route / electric arc furnace route, 1kg | GLO | 9c0c2f04</x:v>
      </x:c>
      <x:c r="B301" s="36" t="str">
        <x:v>9c0c2f04-fd6a-4d3c-950c-f9dead3639fe</x:v>
      </x:c>
      <x:c r="C301" s="36" t="str">
        <x:v>Steel sections, including recycling, production mix, at plant, blast furnace route / electric arc furnace route, 1kg</x:v>
      </x:c>
      <x:c r="D301" s="36" t="str">
        <x:v>GLO</x:v>
      </x:c>
      <x:c r="E301" s="36" t="str">
        <x:v>ProcessType.LCI_RESULT</x:v>
      </x:c>
      <x:c r="F301" s="36" t="str"/>
      <x:c r="G301" s="36" t="str"/>
    </x:row>
    <x:row r="302">
      <x:c r="A302" s="36" t="str">
        <x:v>Waste incineration of plastics (PET, PMMA, PC), at plant, average European waste-to-energy plant, without collection, transport and pre-treatment | EU-27 | 9c0cf135</x:v>
      </x:c>
      <x:c r="B302" s="36" t="str">
        <x:v>9c0cf135-02aa-46a1-ae22-dfa2683c9bd8</x:v>
      </x:c>
      <x:c r="C302" s="36" t="str">
        <x:v>Waste incineration of plastics (PET, PMMA, PC), at plant, average European waste-to-energy plant, without collection, transport and pre-treatment</x:v>
      </x:c>
      <x:c r="D302" s="36" t="str">
        <x:v>EU-27</x:v>
      </x:c>
      <x:c r="E302" s="36" t="str">
        <x:v>ProcessType.LCI_RESULT</x:v>
      </x:c>
      <x:c r="F302" s="36" t="str"/>
      <x:c r="G302" s="36" t="str"/>
    </x:row>
    <x:row r="303">
      <x:c r="A303" s="36" t="str">
        <x:v>Electricity Mix, consumption mix, at consumer, AC, 1kV - 60kV | LT | 9c9dd298</x:v>
      </x:c>
      <x:c r="B303" s="36" t="str">
        <x:v>9c9dd298-4ea5-422e-a6d0-73cd868252ba</x:v>
      </x:c>
      <x:c r="C303" s="36" t="str">
        <x:v>Electricity Mix, consumption mix, at consumer, AC, 1kV - 60kV</x:v>
      </x:c>
      <x:c r="D303" s="36" t="str">
        <x:v>LT</x:v>
      </x:c>
      <x:c r="E303" s="36" t="str">
        <x:v>ProcessType.LCI_RESULT</x:v>
      </x:c>
      <x:c r="F303" s="36" t="str"/>
      <x:c r="G303" s="36" t="str"/>
    </x:row>
    <x:row r="304">
      <x:c r="A304" s="36" t="str">
        <x:v>Rail transport, technology mix, electricity driven, cargo | RER | 9d66aabb</x:v>
      </x:c>
      <x:c r="B304" s="36" t="str">
        <x:v>9d66aabb-906f-45f6-b3f3-6d002cae096d</x:v>
      </x:c>
      <x:c r="C304" s="36" t="str">
        <x:v>Rail transport, technology mix, electricity driven, cargo</x:v>
      </x:c>
      <x:c r="D304" s="36" t="str">
        <x:v>RER</x:v>
      </x:c>
      <x:c r="E304" s="36" t="str">
        <x:v>ProcessType.LCI_RESULT</x:v>
      </x:c>
      <x:c r="F304" s="36" t="str"/>
      <x:c r="G304" s="36" t="str"/>
    </x:row>
    <x:row r="305">
      <x:c r="A305" s="36" t="str">
        <x:v>Process steam from Light fuel oil 90 %, consumption mix, at power plant, heat plant, MJ, 90 % efficiency | SI | 9e5c4940</x:v>
      </x:c>
      <x:c r="B305" s="36" t="str">
        <x:v>9e5c4940-78b7-48ed-904e-a2482d0c1ffe</x:v>
      </x:c>
      <x:c r="C305" s="36" t="str">
        <x:v>Process steam from Light fuel oil 90 %, consumption mix, at power plant, heat plant, MJ, 90 % efficiency</x:v>
      </x:c>
      <x:c r="D305" s="36" t="str">
        <x:v>SI</x:v>
      </x:c>
      <x:c r="E305" s="36" t="str">
        <x:v>ProcessType.LCI_RESULT</x:v>
      </x:c>
      <x:c r="F305" s="36" t="str"/>
      <x:c r="G305" s="36" t="str"/>
    </x:row>
    <x:row r="306">
      <x:c r="A306" s="36" t="str">
        <x:v>Excavator, technology mix, 100 kW, Construction | GLO | 9e6d3b0e</x:v>
      </x:c>
      <x:c r="B306" s="36" t="str">
        <x:v>9e6d3b0e-cb47-4df3-969b-f23a75a0ae42</x:v>
      </x:c>
      <x:c r="C306" s="36" t="str">
        <x:v>Excavator, technology mix, 100 kW, Construction</x:v>
      </x:c>
      <x:c r="D306" s="36" t="str">
        <x:v>GLO</x:v>
      </x:c>
      <x:c r="E306" s="36" t="str">
        <x:v>ProcessType.UNIT_PROCESS</x:v>
      </x:c>
      <x:c r="F306" s="36" t="str"/>
      <x:c r="G306" s="36" t="str"/>
    </x:row>
    <x:row r="307">
      <x:c r="A307" s="36" t="str">
        <x:v>Electricity grid mix 1kV-60kV, consumption mix, at consumer, AC, 1kV - 60kV | DK | 9ef365e3</x:v>
      </x:c>
      <x:c r="B307" s="36" t="str">
        <x:v>9ef365e3-abb5-4ce5-a36e-96b521ceaeb2</x:v>
      </x:c>
      <x:c r="C307" s="36" t="str">
        <x:v>Electricity grid mix 1kV-60kV, consumption mix, at consumer, AC, 1kV - 60kV</x:v>
      </x:c>
      <x:c r="D307" s="36" t="str">
        <x:v>DK</x:v>
      </x:c>
      <x:c r="E307" s="36" t="str">
        <x:v>ProcessType.LCI_RESULT</x:v>
      </x:c>
      <x:c r="F307" s="36" t="str"/>
      <x:c r="G307" s="36" t="str"/>
    </x:row>
    <x:row r="308">
      <x:c r="A308" s="36" t="str">
        <x:v>Process steam from Light fuel oil 90 %, consumption mix, at power plant, heat plant, MJ, 90 % efficiency | FI | 9fd568ff</x:v>
      </x:c>
      <x:c r="B308" s="36" t="str">
        <x:v>9fd568ff-c202-4bf5-b341-4f327829ad15</x:v>
      </x:c>
      <x:c r="C308" s="36" t="str">
        <x:v>Process steam from Light fuel oil 90 %, consumption mix, at power plant, heat plant, MJ, 90 % efficiency</x:v>
      </x:c>
      <x:c r="D308" s="36" t="str">
        <x:v>FI</x:v>
      </x:c>
      <x:c r="E308" s="36" t="str">
        <x:v>ProcessType.LCI_RESULT</x:v>
      </x:c>
      <x:c r="F308" s="36" t="str"/>
      <x:c r="G308" s="36" t="str"/>
    </x:row>
    <x:row r="309">
      <x:c r="A309" s="36" t="str">
        <x:v>Process steam from natural gas, consumption mix, at plant, heat plant, MJ | FI | a0e9cd53</x:v>
      </x:c>
      <x:c r="B309" s="36" t="str">
        <x:v>a0e9cd53-883f-403b-91bf-37ed9861f6e5</x:v>
      </x:c>
      <x:c r="C309" s="36" t="str">
        <x:v>Process steam from natural gas, consumption mix, at plant, heat plant, MJ</x:v>
      </x:c>
      <x:c r="D309" s="36" t="str">
        <x:v>FI</x:v>
      </x:c>
      <x:c r="E309" s="36" t="str">
        <x:v>ProcessType.LCI_RESULT</x:v>
      </x:c>
      <x:c r="F309" s="36" t="str"/>
      <x:c r="G309" s="36" t="str"/>
    </x:row>
    <x:row r="310">
      <x:c r="A310" s="36" t="str">
        <x:v>Electricity Mix, consumption mix, at consumer, AC, 1kV - 60kV | DE | a1388758</x:v>
      </x:c>
      <x:c r="B310" s="36" t="str">
        <x:v>a1388758-0402-40c4-976b-6a805c8e46e0</x:v>
      </x:c>
      <x:c r="C310" s="36" t="str">
        <x:v>Electricity Mix, consumption mix, at consumer, AC, 1kV - 60kV</x:v>
      </x:c>
      <x:c r="D310" s="36" t="str">
        <x:v>DE</x:v>
      </x:c>
      <x:c r="E310" s="36" t="str">
        <x:v>ProcessType.LCI_RESULT</x:v>
      </x:c>
      <x:c r="F310" s="36" t="str"/>
      <x:c r="G310" s="36" t="str"/>
    </x:row>
    <x:row r="311">
      <x:c r="A311" s="36" t="str">
        <x:v>Copper tube, consumption mix, at plant, technology mix, diameter 15 mm, 1 mm thickness | EU-15 | a1baa4f2</x:v>
      </x:c>
      <x:c r="B311" s="36" t="str">
        <x:v>a1baa4f2-50d3-44a1-b806-465c3d9ef1a7</x:v>
      </x:c>
      <x:c r="C311" s="36" t="str">
        <x:v>Copper tube, consumption mix, at plant, technology mix, diameter 15 mm, 1 mm thickness</x:v>
      </x:c>
      <x:c r="D311" s="36" t="str">
        <x:v>EU-15</x:v>
      </x:c>
      <x:c r="E311" s="36" t="str">
        <x:v>ProcessType.LCI_RESULT</x:v>
      </x:c>
      <x:c r="F311" s="36" t="str"/>
      <x:c r="G311" s="36" t="str"/>
    </x:row>
    <x:row r="312">
      <x:c r="A312" s="36" t="str">
        <x:v>Electricity from hydro power, production mix, at power plant, AC, 230V | RER | a23ee124</x:v>
      </x:c>
      <x:c r="B312" s="36" t="str">
        <x:v>a23ee124-6076-47c7-b8c3-808fab198c08</x:v>
      </x:c>
      <x:c r="C312" s="36" t="str">
        <x:v>Electricity from hydro power, production mix, at power plant, AC, 230V</x:v>
      </x:c>
      <x:c r="D312" s="36" t="str">
        <x:v>RER</x:v>
      </x:c>
      <x:c r="E312" s="36" t="str">
        <x:v>ProcessType.LCI_RESULT</x:v>
      </x:c>
      <x:c r="F312" s="36" t="str"/>
      <x:c r="G312" s="36" t="str"/>
    </x:row>
    <x:row r="313">
      <x:c r="A313" s="36" t="str">
        <x:v>Bentonite powder, sodium activated, Production at plant, 1000 kg of bentonite  sodium activated powder with particle sizes below 74 µm and a moisture content ranging between 8 and 12%, stored in silo, ready to be shipped in bulk., None | RER | a2eaa86a</x:v>
      </x:c>
      <x:c r="B313" s="36" t="str">
        <x:v>a2eaa86a-57cd-4f78-9e5a-9bc44458f6b0</x:v>
      </x:c>
      <x:c r="C313" s="36" t="str">
        <x:v>Bentonite powder, sodium activated, Production at plant, 1000 kg of bentonite  sodium activated powder with particle sizes below 74 µm and a moisture content ranging between 8 and 12%, stored in silo, ready to be shipped in bulk., None</x:v>
      </x:c>
      <x:c r="D313" s="36" t="str">
        <x:v>RER</x:v>
      </x:c>
      <x:c r="E313" s="36" t="str">
        <x:v>ProcessType.LCI_RESULT</x:v>
      </x:c>
      <x:c r="F313" s="36" t="str"/>
      <x:c r="G313" s="36" t="str"/>
    </x:row>
    <x:row r="314">
      <x:c r="A314" s="36" t="str">
        <x:v>Process steam from light fuel oil, consumption mix, at plant, heat plant, MJ | PL | a383f642</x:v>
      </x:c>
      <x:c r="B314" s="36" t="str">
        <x:v>a383f642-4951-4307-b412-f4bca15f1058</x:v>
      </x:c>
      <x:c r="C314" s="36" t="str">
        <x:v>Process steam from light fuel oil, consumption mix, at plant, heat plant, MJ</x:v>
      </x:c>
      <x:c r="D314" s="36" t="str">
        <x:v>PL</x:v>
      </x:c>
      <x:c r="E314" s="36" t="str">
        <x:v>ProcessType.LCI_RESULT</x:v>
      </x:c>
      <x:c r="F314" s="36" t="str"/>
      <x:c r="G314" s="36" t="str"/>
    </x:row>
    <x:row r="315">
      <x:c r="A315" s="36" t="str">
        <x:v>Electricity grid mix 1kV-60kV, consumption mix, at consumer, AC, 1kV - 60kV | HU | a4545093</x:v>
      </x:c>
      <x:c r="B315" s="36" t="str">
        <x:v>a4545093-a3a1-4363-837f-1e196d53cbdd</x:v>
      </x:c>
      <x:c r="C315" s="36" t="str">
        <x:v>Electricity grid mix 1kV-60kV, consumption mix, at consumer, AC, 1kV - 60kV</x:v>
      </x:c>
      <x:c r="D315" s="36" t="str">
        <x:v>HU</x:v>
      </x:c>
      <x:c r="E315" s="36" t="str">
        <x:v>ProcessType.LCI_RESULT</x:v>
      </x:c>
      <x:c r="F315" s="36" t="str"/>
      <x:c r="G315" s="36" t="str"/>
    </x:row>
    <x:row r="316">
      <x:c r="A316" s="36" t="str">
        <x:v>Nylon 6 glass filled (PA 6 GF), production mix, at plant | RER | a494f691</x:v>
      </x:c>
      <x:c r="B316" s="36" t="str">
        <x:v>a494f691-2070-4796-b002-474878345dce</x:v>
      </x:c>
      <x:c r="C316" s="36" t="str">
        <x:v>Nylon 6 glass filled (PA 6 GF), production mix, at plant</x:v>
      </x:c>
      <x:c r="D316" s="36" t="str">
        <x:v>RER</x:v>
      </x:c>
      <x:c r="E316" s="36" t="str">
        <x:v>ProcessType.LCI_RESULT</x:v>
      </x:c>
      <x:c r="F316" s="36" t="str"/>
      <x:c r="G316" s="36" t="str"/>
    </x:row>
    <x:row r="317">
      <x:c r="A317" s="36" t="str">
        <x:v>Process steam from natural gas, consumption mix, at plant, heat plant, MJ | ES | a5864d27</x:v>
      </x:c>
      <x:c r="B317" s="36" t="str">
        <x:v>a5864d27-3ac8-4843-9726-86ce78d9934d</x:v>
      </x:c>
      <x:c r="C317" s="36" t="str">
        <x:v>Process steam from natural gas, consumption mix, at plant, heat plant, MJ</x:v>
      </x:c>
      <x:c r="D317" s="36" t="str">
        <x:v>ES</x:v>
      </x:c>
      <x:c r="E317" s="36" t="str">
        <x:v>ProcessType.LCI_RESULT</x:v>
      </x:c>
      <x:c r="F317" s="36" t="str"/>
      <x:c r="G317" s="36" t="str"/>
    </x:row>
    <x:row r="318">
      <x:c r="A318" s="36" t="str">
        <x:v>Process steam from Light fuel oil 90 %, consumption mix, at power plant, heat plant, MJ, 90 % efficiency | ES | a725becd</x:v>
      </x:c>
      <x:c r="B318" s="36" t="str">
        <x:v>a725becd-b2a9-4b0a-a88f-d6ab1a5e4659</x:v>
      </x:c>
      <x:c r="C318" s="36" t="str">
        <x:v>Process steam from Light fuel oil 90 %, consumption mix, at power plant, heat plant, MJ, 90 % efficiency</x:v>
      </x:c>
      <x:c r="D318" s="36" t="str">
        <x:v>ES</x:v>
      </x:c>
      <x:c r="E318" s="36" t="str">
        <x:v>ProcessType.LCI_RESULT</x:v>
      </x:c>
      <x:c r="F318" s="36" t="str"/>
      <x:c r="G318" s="36" t="str"/>
    </x:row>
    <x:row r="319">
      <x:c r="A319" s="36" t="str">
        <x:v>Steel tinplate without EoL recycling  (collection year 2012/2013), European, production mix, at plant, blast furnace route, 1kg, typical thickness between 0.13 - 0.49 mm. typical width between 600 - 1100 mm. | RER | a83ee9ac</x:v>
      </x:c>
      <x:c r="B319" s="36" t="str">
        <x:v>a83ee9ac-e392-4ef8-b046-8d88c23a4187</x:v>
      </x:c>
      <x:c r="C319" s="36" t="str">
        <x:v>Steel tinplate without EoL recycling  (collection year 2012/2013), European, production mix, at plant, blast furnace route, 1kg, typical thickness between 0.13 - 0.49 mm. typical width between 600 - 1100 mm.</x:v>
      </x:c>
      <x:c r="D319" s="36" t="str">
        <x:v>RER</x:v>
      </x:c>
      <x:c r="E319" s="36" t="str">
        <x:v>ProcessType.LCI_RESULT</x:v>
      </x:c>
      <x:c r="F319" s="36" t="str"/>
      <x:c r="G319" s="36" t="str"/>
    </x:row>
    <x:row r="320">
      <x:c r="A320" s="36" t="str">
        <x:v>Process steam from natural gas, consumption mix, at plant, heat plant, MJ | EE | a86dd154</x:v>
      </x:c>
      <x:c r="B320" s="36" t="str">
        <x:v>a86dd154-849e-41c0-b117-8f7e3dd57a6e</x:v>
      </x:c>
      <x:c r="C320" s="36" t="str">
        <x:v>Process steam from natural gas, consumption mix, at plant, heat plant, MJ</x:v>
      </x:c>
      <x:c r="D320" s="36" t="str">
        <x:v>EE</x:v>
      </x:c>
      <x:c r="E320" s="36" t="str">
        <x:v>ProcessType.LCI_RESULT</x:v>
      </x:c>
      <x:c r="F320" s="36" t="str"/>
      <x:c r="G320" s="36" t="str"/>
    </x:row>
    <x:row r="321">
      <x:c r="A321" s="36" t="str">
        <x:v>Aerated concrete block, production mix, at plant, type P4 05 reinforced, average density 485 kg/m3 | RER | a8b2c610</x:v>
      </x:c>
      <x:c r="B321" s="36" t="str">
        <x:v>a8b2c610-429d-11dd-ae16-0800200c9a66</x:v>
      </x:c>
      <x:c r="C321" s="36" t="str">
        <x:v>Aerated concrete block, production mix, at plant, type P4 05 reinforced, average density 485 kg/m3</x:v>
      </x:c>
      <x:c r="D321" s="36" t="str">
        <x:v>RER</x:v>
      </x:c>
      <x:c r="E321" s="36" t="str">
        <x:v>ProcessType.LCI_RESULT</x:v>
      </x:c>
      <x:c r="F321" s="36" t="str"/>
      <x:c r="G321" s="36" t="str"/>
    </x:row>
    <x:row r="322">
      <x:c r="A322" s="36" t="str">
        <x:v>Electricity Mix, consumption mix, at consumer, AC, 1kV - 60kV | SI | a8db2e01</x:v>
      </x:c>
      <x:c r="B322" s="36" t="str">
        <x:v>a8db2e01-c0c5-4ad4-bd4d-55496ce0a60a</x:v>
      </x:c>
      <x:c r="C322" s="36" t="str">
        <x:v>Electricity Mix, consumption mix, at consumer, AC, 1kV - 60kV</x:v>
      </x:c>
      <x:c r="D322" s="36" t="str">
        <x:v>SI</x:v>
      </x:c>
      <x:c r="E322" s="36" t="str">
        <x:v>ProcessType.LCI_RESULT</x:v>
      </x:c>
      <x:c r="F322" s="36" t="str"/>
      <x:c r="G322" s="36" t="str"/>
    </x:row>
    <x:row r="323">
      <x:c r="A323" s="36" t="str">
        <x:v>Electricity Mix, consumption mix, at consumer, AC, 1kV - 60kV | BG | a8f340cd</x:v>
      </x:c>
      <x:c r="B323" s="36" t="str">
        <x:v>a8f340cd-22fb-4466-ba73-ce7adf046a91</x:v>
      </x:c>
      <x:c r="C323" s="36" t="str">
        <x:v>Electricity Mix, consumption mix, at consumer, AC, 1kV - 60kV</x:v>
      </x:c>
      <x:c r="D323" s="36" t="str">
        <x:v>BG</x:v>
      </x:c>
      <x:c r="E323" s="36" t="str">
        <x:v>ProcessType.LCI_RESULT</x:v>
      </x:c>
      <x:c r="F323" s="36" t="str"/>
      <x:c r="G323" s="36" t="str"/>
    </x:row>
    <x:row r="324">
      <x:c r="A324" s="36" t="str">
        <x:v>Compressed air, production mix, 10 bar, high efficiency, low power consumption | GLO | abde7f80</x:v>
      </x:c>
      <x:c r="B324" s="36" t="str">
        <x:v>abde7f80-2c33-48e2-8a66-4084c7dd0384</x:v>
      </x:c>
      <x:c r="C324" s="36" t="str">
        <x:v>Compressed air, production mix, 10 bar, high efficiency, low power consumption</x:v>
      </x:c>
      <x:c r="D324" s="36" t="str">
        <x:v>GLO</x:v>
      </x:c>
      <x:c r="E324" s="36" t="str">
        <x:v>ProcessType.UNIT_PROCESS</x:v>
      </x:c>
      <x:c r="F324" s="36" t="str"/>
      <x:c r="G324" s="36" t="str"/>
    </x:row>
    <x:row r="325">
      <x:c r="A325" s="36" t="str">
        <x:v>Process steam from natural gas, consumption mix, at plant, heat plant, MJ | DK | ac96ecc2</x:v>
      </x:c>
      <x:c r="B325" s="36" t="str">
        <x:v>ac96ecc2-0be5-4176-a985-fe2c77a10090</x:v>
      </x:c>
      <x:c r="C325" s="36" t="str">
        <x:v>Process steam from natural gas, consumption mix, at plant, heat plant, MJ</x:v>
      </x:c>
      <x:c r="D325" s="36" t="str">
        <x:v>DK</x:v>
      </x:c>
      <x:c r="E325" s="36" t="str">
        <x:v>ProcessType.LCI_RESULT</x:v>
      </x:c>
      <x:c r="F325" s="36" t="str"/>
      <x:c r="G325" s="36" t="str"/>
    </x:row>
    <x:row r="326">
      <x:c r="A326" s="36" t="str">
        <x:v>Process steam from Light fuel oil 90 %, consumption mix, at power plant, heat plant, MJ, 90 % efficiency | IT | aca0b443</x:v>
      </x:c>
      <x:c r="B326" s="36" t="str">
        <x:v>aca0b443-7e0e-4f0e-9d1e-6af6da884a36</x:v>
      </x:c>
      <x:c r="C326" s="36" t="str">
        <x:v>Process steam from Light fuel oil 90 %, consumption mix, at power plant, heat plant, MJ, 90 % efficiency</x:v>
      </x:c>
      <x:c r="D326" s="36" t="str">
        <x:v>IT</x:v>
      </x:c>
      <x:c r="E326" s="36" t="str">
        <x:v>ProcessType.LCI_RESULT</x:v>
      </x:c>
      <x:c r="F326" s="36" t="str"/>
      <x:c r="G326" s="36" t="str"/>
    </x:row>
    <x:row r="327">
      <x:c r="A327" s="36" t="str">
        <x:v>Electricity Mix, consumption mix, at consumer, AC, 1kV - 60kV | LU | acb2802d</x:v>
      </x:c>
      <x:c r="B327" s="36" t="str">
        <x:v>acb2802d-9569-429e-a80a-3a3023806923</x:v>
      </x:c>
      <x:c r="C327" s="36" t="str">
        <x:v>Electricity Mix, consumption mix, at consumer, AC, 1kV - 60kV</x:v>
      </x:c>
      <x:c r="D327" s="36" t="str">
        <x:v>LU</x:v>
      </x:c>
      <x:c r="E327" s="36" t="str">
        <x:v>ProcessType.LCI_RESULT</x:v>
      </x:c>
      <x:c r="F327" s="36" t="str"/>
      <x:c r="G327" s="36" t="str"/>
    </x:row>
    <x:row r="328">
      <x:c r="A328" s="36" t="str">
        <x:v>Polycarbonate granulate (PC), production mix, at plant | RER | acf81ba2</x:v>
      </x:c>
      <x:c r="B328" s="36" t="str">
        <x:v>acf81ba2-1ebb-4150-9b26-06d8e2c6be10</x:v>
      </x:c>
      <x:c r="C328" s="36" t="str">
        <x:v>Polycarbonate granulate (PC), production mix, at plant</x:v>
      </x:c>
      <x:c r="D328" s="36" t="str">
        <x:v>RER</x:v>
      </x:c>
      <x:c r="E328" s="36" t="str">
        <x:v>ProcessType.LCI_RESULT</x:v>
      </x:c>
      <x:c r="F328" s="36" t="str"/>
      <x:c r="G328" s="36" t="str"/>
    </x:row>
    <x:row r="329">
      <x:c r="A329" s="36" t="str">
        <x:v>Electricity grid mix, consumption mix, at consumer, AC, 230V | GB | add1fa15</x:v>
      </x:c>
      <x:c r="B329" s="36" t="str">
        <x:v>add1fa15-cb5f-4ce8-99d3-69ee463553e0</x:v>
      </x:c>
      <x:c r="C329" s="36" t="str">
        <x:v>Electricity grid mix, consumption mix, at consumer, AC, 230V</x:v>
      </x:c>
      <x:c r="D329" s="36" t="str">
        <x:v>GB</x:v>
      </x:c>
      <x:c r="E329" s="36" t="str">
        <x:v>ProcessType.LCI_RESULT</x:v>
      </x:c>
      <x:c r="F329" s="36" t="str"/>
      <x:c r="G329" s="36" t="str"/>
    </x:row>
    <x:row r="330">
      <x:c r="A330" s="36" t="str">
        <x:v>Process steam from natural gas, consumption mix, at plant, heat plant, MJ | DE | ae4d0105</x:v>
      </x:c>
      <x:c r="B330" s="36" t="str">
        <x:v>ae4d0105-cbf1-4284-9b70-d898bd84a28e</x:v>
      </x:c>
      <x:c r="C330" s="36" t="str">
        <x:v>Process steam from natural gas, consumption mix, at plant, heat plant, MJ</x:v>
      </x:c>
      <x:c r="D330" s="36" t="str">
        <x:v>DE</x:v>
      </x:c>
      <x:c r="E330" s="36" t="str">
        <x:v>ProcessType.LCI_RESULT</x:v>
      </x:c>
      <x:c r="F330" s="36" t="str"/>
      <x:c r="G330" s="36" t="str"/>
    </x:row>
    <x:row r="331">
      <x:c r="A331" s="36" t="str">
        <x:v>High impact polystyrene granulate (HIPS), production mix, at plant | RER | aed8d428</x:v>
      </x:c>
      <x:c r="B331" s="36" t="str">
        <x:v>aed8d428-25bc-4b69-8722-d3e26975dc5b</x:v>
      </x:c>
      <x:c r="C331" s="36" t="str">
        <x:v>High impact polystyrene granulate (HIPS), production mix, at plant</x:v>
      </x:c>
      <x:c r="D331" s="36" t="str">
        <x:v>RER</x:v>
      </x:c>
      <x:c r="E331" s="36" t="str">
        <x:v>ProcessType.LCI_RESULT</x:v>
      </x:c>
      <x:c r="F331" s="36" t="str"/>
      <x:c r="G331" s="36" t="str"/>
    </x:row>
    <x:row r="332">
      <x:c r="A332" s="36" t="str">
        <x:v>Electricity grid mix, consumption mix, at consumer, AC, 230V | EE | af9ff0aa</x:v>
      </x:c>
      <x:c r="B332" s="36" t="str">
        <x:v>af9ff0aa-465e-4ccd-9973-39bb3ae17be2</x:v>
      </x:c>
      <x:c r="C332" s="36" t="str">
        <x:v>Electricity grid mix, consumption mix, at consumer, AC, 230V</x:v>
      </x:c>
      <x:c r="D332" s="36" t="str">
        <x:v>EE</x:v>
      </x:c>
      <x:c r="E332" s="36" t="str">
        <x:v>ProcessType.LCI_RESULT</x:v>
      </x:c>
      <x:c r="F332" s="36" t="str"/>
      <x:c r="G332" s="36" t="str"/>
    </x:row>
    <x:row r="333">
      <x:c r="A333" s="36" t="str">
        <x:v>Steel hot rolled coil, including recycling, production mix, at plant, blast furnace route, 1kg, typical thickness between 2 - 7 mm. typical width between 600 - 2100 mm | GLO | b0b413a1</x:v>
      </x:c>
      <x:c r="B333" s="36" t="str">
        <x:v>b0b413a1-2a7d-4cb5-a108-bfd7b37502e4</x:v>
      </x:c>
      <x:c r="C333" s="36" t="str">
        <x:v>Steel hot rolled coil, including recycling, production mix, at plant, blast furnace route, 1kg, typical thickness between 2 - 7 mm. typical width between 600 - 2100 mm</x:v>
      </x:c>
      <x:c r="D333" s="36" t="str">
        <x:v>GLO</x:v>
      </x:c>
      <x:c r="E333" s="36" t="str">
        <x:v>ProcessType.LCI_RESULT</x:v>
      </x:c>
      <x:c r="F333" s="36" t="str"/>
      <x:c r="G333" s="36" t="str"/>
    </x:row>
    <x:row r="334">
      <x:c r="A334" s="36" t="str">
        <x:v>Continuous filament glass fibre (dry chopped strands), at plant | RER | b1661cc6</x:v>
      </x:c>
      <x:c r="B334" s="36" t="str">
        <x:v>b1661cc6-b2f5-46ae-8ce0-f1d33ac7e1af</x:v>
      </x:c>
      <x:c r="C334" s="36" t="str">
        <x:v>Continuous filament glass fibre (dry chopped strands), at plant</x:v>
      </x:c>
      <x:c r="D334" s="36" t="str">
        <x:v>RER</x:v>
      </x:c>
      <x:c r="E334" s="36" t="str">
        <x:v>ProcessType.LCI_RESULT</x:v>
      </x:c>
      <x:c r="F334" s="36" t="str"/>
      <x:c r="G334" s="36" t="str"/>
    </x:row>
    <x:row r="335">
      <x:c r="A335" s="36" t="str">
        <x:v>Process steam from natural gas, consumption mix, at plant, heat plant, MJ | CZ | b230247d</x:v>
      </x:c>
      <x:c r="B335" s="36" t="str">
        <x:v>b230247d-6929-460c-a209-e41f8a072518</x:v>
      </x:c>
      <x:c r="C335" s="36" t="str">
        <x:v>Process steam from natural gas, consumption mix, at plant, heat plant, MJ</x:v>
      </x:c>
      <x:c r="D335" s="36" t="str">
        <x:v>CZ</x:v>
      </x:c>
      <x:c r="E335" s="36" t="str">
        <x:v>ProcessType.LCI_RESULT</x:v>
      </x:c>
      <x:c r="F335" s="36" t="str"/>
      <x:c r="G335" s="36" t="str"/>
    </x:row>
    <x:row r="336">
      <x:c r="A336" s="36" t="str">
        <x:v>Electricity Mix, consumption mix, at consumer, AC, 220V | CZ | b255d9fc</x:v>
      </x:c>
      <x:c r="B336" s="36" t="str">
        <x:v>b255d9fc-82ea-4f5c-acf2-30e13df2c86a</x:v>
      </x:c>
      <x:c r="C336" s="36" t="str">
        <x:v>Electricity Mix, consumption mix, at consumer, AC, 220V</x:v>
      </x:c>
      <x:c r="D336" s="36" t="str">
        <x:v>CZ</x:v>
      </x:c>
      <x:c r="E336" s="36" t="str">
        <x:v>ProcessType.LCI_RESULT</x:v>
      </x:c>
      <x:c r="F336" s="36" t="str"/>
      <x:c r="G336" s="36" t="str"/>
    </x:row>
    <x:row r="337">
      <x:c r="A337" s="36" t="str">
        <x:v>Process steam from natural gas 90%, consumption mix, at power plant, heat plant, MJ, 90 % efficiency | IE | b365c16e</x:v>
      </x:c>
      <x:c r="B337" s="36" t="str">
        <x:v>b365c16e-d919-4d54-ac04-aee9563e45b9</x:v>
      </x:c>
      <x:c r="C337" s="36" t="str">
        <x:v>Process steam from natural gas 90%, consumption mix, at power plant, heat plant, MJ, 90 % efficiency</x:v>
      </x:c>
      <x:c r="D337" s="36" t="str">
        <x:v>IE</x:v>
      </x:c>
      <x:c r="E337" s="36" t="str">
        <x:v>ProcessType.LCI_RESULT</x:v>
      </x:c>
      <x:c r="F337" s="36" t="str"/>
      <x:c r="G337" s="36" t="str"/>
    </x:row>
    <x:row r="338">
      <x:c r="A338" s="36" t="str">
        <x:v>Process steam from Heavy fuel oil 90 %, consumption mix, at power plant, heat plant, MJ, 90 % efficiency | IE | b41e0880</x:v>
      </x:c>
      <x:c r="B338" s="36" t="str">
        <x:v>b41e0880-1264-47a1-ae64-c2363a51a27f</x:v>
      </x:c>
      <x:c r="C338" s="36" t="str">
        <x:v>Process steam from Heavy fuel oil 90 %, consumption mix, at power plant, heat plant, MJ, 90 % efficiency</x:v>
      </x:c>
      <x:c r="D338" s="36" t="str">
        <x:v>IE</x:v>
      </x:c>
      <x:c r="E338" s="36" t="str">
        <x:v>ProcessType.LCI_RESULT</x:v>
      </x:c>
      <x:c r="F338" s="36" t="str"/>
      <x:c r="G338" s="36" t="str"/>
    </x:row>
    <x:row r="339">
      <x:c r="A339" s="36" t="str">
        <x:v>Process steam from natural gas, consumption mix, at plant, heat plant, MJ | CH | b4404340</x:v>
      </x:c>
      <x:c r="B339" s="36" t="str">
        <x:v>b4404340-352a-46c1-a52e-ad6b40ee742a</x:v>
      </x:c>
      <x:c r="C339" s="36" t="str">
        <x:v>Process steam from natural gas, consumption mix, at plant, heat plant, MJ</x:v>
      </x:c>
      <x:c r="D339" s="36" t="str">
        <x:v>CH</x:v>
      </x:c>
      <x:c r="E339" s="36" t="str">
        <x:v>ProcessType.LCI_RESULT</x:v>
      </x:c>
      <x:c r="F339" s="36" t="str"/>
      <x:c r="G339" s="36" t="str"/>
    </x:row>
    <x:row r="340">
      <x:c r="A340" s="36" t="str">
        <x:v>Articulated lorry transport, Euro 0, 1, 2, 3, 4 mix, 40 t total weight, 27 t max payload | RER | b444f4d0</x:v>
      </x:c>
      <x:c r="B340" s="36" t="str">
        <x:v>b444f4d0-3393-11dd-bd11-0800200c9a66</x:v>
      </x:c>
      <x:c r="C340" s="36" t="str">
        <x:v>Articulated lorry transport, Euro 0, 1, 2, 3, 4 mix, 40 t total weight, 27 t max payload</x:v>
      </x:c>
      <x:c r="D340" s="36" t="str">
        <x:v>RER</x:v>
      </x:c>
      <x:c r="E340" s="36" t="str">
        <x:v>ProcessType.UNIT_PROCESS</x:v>
      </x:c>
      <x:c r="F340" s="36" t="str"/>
      <x:c r="G340" s="36" t="str"/>
    </x:row>
    <x:row r="341">
      <x:c r="A341" s="36" t="str">
        <x:v>Articulated lorry transport, Euro 0, 1, 2, 3, 4 mix, 40 t total weight, 27 t max payload | RER | b444f4d1</x:v>
      </x:c>
      <x:c r="B341" s="36" t="str">
        <x:v>b444f4d1-3393-11dd-bd11-0800200c9a66</x:v>
      </x:c>
      <x:c r="C341" s="36" t="str">
        <x:v>Articulated lorry transport, Euro 0, 1, 2, 3, 4 mix, 40 t total weight, 27 t max payload</x:v>
      </x:c>
      <x:c r="D341" s="36" t="str">
        <x:v>RER</x:v>
      </x:c>
      <x:c r="E341" s="36" t="str">
        <x:v>ProcessType.LCI_RESULT</x:v>
      </x:c>
      <x:c r="F341" s="36" t="str"/>
      <x:c r="G341" s="36" t="str"/>
    </x:row>
    <x:row r="342">
      <x:c r="A342" s="36" t="str">
        <x:v>Lorry transport, Euro 0, 1, 2, 3, 4 mix, 22 t total weight, 17,3 t max payload | RER | b444f4d2</x:v>
      </x:c>
      <x:c r="B342" s="36" t="str">
        <x:v>b444f4d2-3393-11dd-bd11-0800200c9a66</x:v>
      </x:c>
      <x:c r="C342" s="36" t="str">
        <x:v>Lorry transport, Euro 0, 1, 2, 3, 4 mix, 22 t total weight, 17,3 t max payload</x:v>
      </x:c>
      <x:c r="D342" s="36" t="str">
        <x:v>RER</x:v>
      </x:c>
      <x:c r="E342" s="36" t="str">
        <x:v>ProcessType.UNIT_PROCESS</x:v>
      </x:c>
      <x:c r="F342" s="36" t="str"/>
      <x:c r="G342" s="36" t="str"/>
    </x:row>
    <x:row r="343">
      <x:c r="A343" s="36" t="str">
        <x:v>Lorry transport, Euro 0, 1, 2, 3, 4 mix, 22 t total weight, 17,3t max payload | RER | b444f4d3</x:v>
      </x:c>
      <x:c r="B343" s="36" t="str">
        <x:v>b444f4d3-3393-11dd-bd11-0800200c9a66</x:v>
      </x:c>
      <x:c r="C343" s="36" t="str">
        <x:v>Lorry transport, Euro 0, 1, 2, 3, 4 mix, 22 t total weight, 17,3t max payload</x:v>
      </x:c>
      <x:c r="D343" s="36" t="str">
        <x:v>RER</x:v>
      </x:c>
      <x:c r="E343" s="36" t="str">
        <x:v>ProcessType.LCI_RESULT</x:v>
      </x:c>
      <x:c r="F343" s="36" t="str"/>
      <x:c r="G343" s="36" t="str"/>
    </x:row>
    <x:row r="344">
      <x:c r="A344" s="36" t="str">
        <x:v>Small lorry transport, Euro 0, 1, 2, 3, 4 mix, 7,5 t total weight, 3,3 t max payload | RER | b444f4d4</x:v>
      </x:c>
      <x:c r="B344" s="36" t="str">
        <x:v>b444f4d4-3393-11dd-bd11-0800200c9a66</x:v>
      </x:c>
      <x:c r="C344" s="36" t="str">
        <x:v>Small lorry transport, Euro 0, 1, 2, 3, 4 mix, 7,5 t total weight, 3,3 t max payload</x:v>
      </x:c>
      <x:c r="D344" s="36" t="str">
        <x:v>RER</x:v>
      </x:c>
      <x:c r="E344" s="36" t="str">
        <x:v>ProcessType.UNIT_PROCESS</x:v>
      </x:c>
      <x:c r="F344" s="36" t="str"/>
      <x:c r="G344" s="36" t="str"/>
    </x:row>
    <x:row r="345">
      <x:c r="A345" s="36" t="str">
        <x:v>Small lorry transport, Euro 0, 1, 2, 3, 4 mix, 7,5 t total weight, 3,3 t max payload | RER | b4451be0</x:v>
      </x:c>
      <x:c r="B345" s="36" t="str">
        <x:v>b4451be0-3393-11dd-bd11-0800200c9a66</x:v>
      </x:c>
      <x:c r="C345" s="36" t="str">
        <x:v>Small lorry transport, Euro 0, 1, 2, 3, 4 mix, 7,5 t total weight, 3,3 t max payload</x:v>
      </x:c>
      <x:c r="D345" s="36" t="str">
        <x:v>RER</x:v>
      </x:c>
      <x:c r="E345" s="36" t="str">
        <x:v>ProcessType.LCI_RESULT</x:v>
      </x:c>
      <x:c r="F345" s="36" t="str"/>
      <x:c r="G345" s="36" t="str"/>
    </x:row>
    <x:row r="346">
      <x:c r="A346" s="36" t="str">
        <x:v>Process steam from light fuel oil, consumption mix, at plant, heat plant, MJ | GB | b501b6bf</x:v>
      </x:c>
      <x:c r="B346" s="36" t="str">
        <x:v>b501b6bf-07c4-4d87-8857-dae693f3f02d</x:v>
      </x:c>
      <x:c r="C346" s="36" t="str">
        <x:v>Process steam from light fuel oil, consumption mix, at plant, heat plant, MJ</x:v>
      </x:c>
      <x:c r="D346" s="36" t="str">
        <x:v>GB</x:v>
      </x:c>
      <x:c r="E346" s="36" t="str">
        <x:v>ProcessType.LCI_RESULT</x:v>
      </x:c>
      <x:c r="F346" s="36" t="str"/>
      <x:c r="G346" s="36" t="str"/>
    </x:row>
    <x:row r="347">
      <x:c r="A347" s="36" t="str">
        <x:v>Process steam from natural gas, consumption mix, at plant, heat plant, MJ | BG | b55fb775</x:v>
      </x:c>
      <x:c r="B347" s="36" t="str">
        <x:v>b55fb775-82ac-4947-ad48-a342d1d8cd45</x:v>
      </x:c>
      <x:c r="C347" s="36" t="str">
        <x:v>Process steam from natural gas, consumption mix, at plant, heat plant, MJ</x:v>
      </x:c>
      <x:c r="D347" s="36" t="str">
        <x:v>BG</x:v>
      </x:c>
      <x:c r="E347" s="36" t="str">
        <x:v>ProcessType.LCI_RESULT</x:v>
      </x:c>
      <x:c r="F347" s="36" t="str"/>
      <x:c r="G347" s="36" t="str"/>
    </x:row>
    <x:row r="348">
      <x:c r="A348" s="36" t="str">
        <x:v>Electricity Mix, consumption mix, at consumer, AC, 1kV - 60kV | SE | b5a4b8f5</x:v>
      </x:c>
      <x:c r="B348" s="36" t="str">
        <x:v>b5a4b8f5-7105-49d5-a36e-799bf629a650</x:v>
      </x:c>
      <x:c r="C348" s="36" t="str">
        <x:v>Electricity Mix, consumption mix, at consumer, AC, 1kV - 60kV</x:v>
      </x:c>
      <x:c r="D348" s="36" t="str">
        <x:v>SE</x:v>
      </x:c>
      <x:c r="E348" s="36" t="str">
        <x:v>ProcessType.LCI_RESULT</x:v>
      </x:c>
      <x:c r="F348" s="36" t="str"/>
      <x:c r="G348" s="36" t="str"/>
    </x:row>
    <x:row r="349">
      <x:c r="A349" s="36" t="str">
        <x:v>Electricity grid mix 1kV-60kV, consumption mix, at consumer, AC, 1kV - 60kV | LT | b65edef6</x:v>
      </x:c>
      <x:c r="B349" s="36" t="str">
        <x:v>b65edef6-c33e-46dd-a953-6a18bbf88b32</x:v>
      </x:c>
      <x:c r="C349" s="36" t="str">
        <x:v>Electricity grid mix 1kV-60kV, consumption mix, at consumer, AC, 1kV - 60kV</x:v>
      </x:c>
      <x:c r="D349" s="36" t="str">
        <x:v>LT</x:v>
      </x:c>
      <x:c r="E349" s="36" t="str">
        <x:v>ProcessType.LCI_RESULT</x:v>
      </x:c>
      <x:c r="F349" s="36" t="str"/>
      <x:c r="G349" s="36" t="str"/>
    </x:row>
    <x:row r="350">
      <x:c r="A350" s="36" t="str">
        <x:v>Electricity Mix, consumption mix, at consumer, AC, 1kV - 60kV | IS | b69dff2a</x:v>
      </x:c>
      <x:c r="B350" s="36" t="str">
        <x:v>b69dff2a-16cb-4eb0-beeb-bdca20b60f00</x:v>
      </x:c>
      <x:c r="C350" s="36" t="str">
        <x:v>Electricity Mix, consumption mix, at consumer, AC, 1kV - 60kV</x:v>
      </x:c>
      <x:c r="D350" s="36" t="str">
        <x:v>IS</x:v>
      </x:c>
      <x:c r="E350" s="36" t="str">
        <x:v>ProcessType.LCI_RESULT</x:v>
      </x:c>
      <x:c r="F350" s="36" t="str"/>
      <x:c r="G350" s="36" t="str"/>
    </x:row>
    <x:row r="351">
      <x:c r="A351" s="36" t="str">
        <x:v>Electricity grid mix, consumption mix, at consumer, AC, 230V | PL | b7021ebb</x:v>
      </x:c>
      <x:c r="B351" s="36" t="str">
        <x:v>b7021ebb-cd48-42ee-9efe-7312f539ec63</x:v>
      </x:c>
      <x:c r="C351" s="36" t="str">
        <x:v>Electricity grid mix, consumption mix, at consumer, AC, 230V</x:v>
      </x:c>
      <x:c r="D351" s="36" t="str">
        <x:v>PL</x:v>
      </x:c>
      <x:c r="E351" s="36" t="str">
        <x:v>ProcessType.LCI_RESULT</x:v>
      </x:c>
      <x:c r="F351" s="36" t="str"/>
      <x:c r="G351" s="36" t="str"/>
    </x:row>
    <x:row r="352">
      <x:c r="A352" s="36" t="str">
        <x:v>Very fine milled silica sand d50 = 20 micrometer, at plant, Production, median diameter of silica sand grains is 20 micrometers | EU-27 | b81d1e8f</x:v>
      </x:c>
      <x:c r="B352" s="36" t="str">
        <x:v>b81d1e8f-5a19-483a-8077-4799839ecf26</x:v>
      </x:c>
      <x:c r="C352" s="36" t="str">
        <x:v>Very fine milled silica sand d50 = 20 micrometer, at plant, Production, median diameter of silica sand grains is 20 micrometers</x:v>
      </x:c>
      <x:c r="D352" s="36" t="str">
        <x:v>EU-27</x:v>
      </x:c>
      <x:c r="E352" s="36" t="str">
        <x:v>ProcessType.LCI_RESULT</x:v>
      </x:c>
      <x:c r="F352" s="36" t="str"/>
      <x:c r="G352" s="36" t="str"/>
    </x:row>
    <x:row r="353">
      <x:c r="A353" s="36" t="str">
        <x:v>Process steam from natural gas, consumption mix, at plant, heat plant, MJ | BE | b82b7e54</x:v>
      </x:c>
      <x:c r="B353" s="36" t="str">
        <x:v>b82b7e54-9f94-4dee-b25e-54cccc0a4103</x:v>
      </x:c>
      <x:c r="C353" s="36" t="str">
        <x:v>Process steam from natural gas, consumption mix, at plant, heat plant, MJ</x:v>
      </x:c>
      <x:c r="D353" s="36" t="str">
        <x:v>BE</x:v>
      </x:c>
      <x:c r="E353" s="36" t="str">
        <x:v>ProcessType.LCI_RESULT</x:v>
      </x:c>
      <x:c r="F353" s="36" t="str"/>
      <x:c r="G353" s="36" t="str"/>
    </x:row>
    <x:row r="354">
      <x:c r="A354" s="36" t="str">
        <x:v>Process steam from Light fuel oil 90 %, consumption mix, at power plant, heat plant, MJ, 90 % efficiency | SK | b8419600</x:v>
      </x:c>
      <x:c r="B354" s="36" t="str">
        <x:v>b8419600-7e7c-410d-b176-52f306b7d36d</x:v>
      </x:c>
      <x:c r="C354" s="36" t="str">
        <x:v>Process steam from Light fuel oil 90 %, consumption mix, at power plant, heat plant, MJ, 90 % efficiency</x:v>
      </x:c>
      <x:c r="D354" s="36" t="str">
        <x:v>SK</x:v>
      </x:c>
      <x:c r="E354" s="36" t="str">
        <x:v>ProcessType.LCI_RESULT</x:v>
      </x:c>
      <x:c r="F354" s="36" t="str"/>
      <x:c r="G354" s="36" t="str"/>
    </x:row>
    <x:row r="355">
      <x:c r="A355" s="36" t="str">
        <x:v>Electricity grid mix, consumption mix, at consumer, AC, 230V | SI | b862569c</x:v>
      </x:c>
      <x:c r="B355" s="36" t="str">
        <x:v>b862569c-55d7-41f5-a0e1-e15f58e7687d</x:v>
      </x:c>
      <x:c r="C355" s="36" t="str">
        <x:v>Electricity grid mix, consumption mix, at consumer, AC, 230V</x:v>
      </x:c>
      <x:c r="D355" s="36" t="str">
        <x:v>SI</x:v>
      </x:c>
      <x:c r="E355" s="36" t="str">
        <x:v>ProcessType.LCI_RESULT</x:v>
      </x:c>
      <x:c r="F355" s="36" t="str"/>
      <x:c r="G355" s="36" t="str"/>
    </x:row>
    <x:row r="356">
      <x:c r="A356" s="36" t="str">
        <x:v>Electricity Mix, consumption mix, at consumer, AC, 1kV - 60kV | PT | b9562ec9</x:v>
      </x:c>
      <x:c r="B356" s="36" t="str">
        <x:v>b9562ec9-10cb-410a-a23c-146178662d30</x:v>
      </x:c>
      <x:c r="C356" s="36" t="str">
        <x:v>Electricity Mix, consumption mix, at consumer, AC, 1kV - 60kV</x:v>
      </x:c>
      <x:c r="D356" s="36" t="str">
        <x:v>PT</x:v>
      </x:c>
      <x:c r="E356" s="36" t="str">
        <x:v>ProcessType.LCI_RESULT</x:v>
      </x:c>
      <x:c r="F356" s="36" t="str"/>
      <x:c r="G356" s="36" t="str"/>
    </x:row>
    <x:row r="357">
      <x:c r="A357" s="36" t="str">
        <x:v>Process steam from light fuel oil, consumption mix, at plant, heat plant, MJ | AT | b9e06fed</x:v>
      </x:c>
      <x:c r="B357" s="36" t="str">
        <x:v>b9e06fed-daec-4f13-b4de-b1ac1c886356</x:v>
      </x:c>
      <x:c r="C357" s="36" t="str">
        <x:v>Process steam from light fuel oil, consumption mix, at plant, heat plant, MJ</x:v>
      </x:c>
      <x:c r="D357" s="36" t="str">
        <x:v>AT</x:v>
      </x:c>
      <x:c r="E357" s="36" t="str">
        <x:v>ProcessType.LCI_RESULT</x:v>
      </x:c>
      <x:c r="F357" s="36" t="str"/>
      <x:c r="G357" s="36" t="str"/>
    </x:row>
    <x:row r="358">
      <x:c r="A358" s="36" t="str">
        <x:v>Process steam from light fuel oil, consumption mix, at plant, heat plant, MJ | BG | ba5f4f8f</x:v>
      </x:c>
      <x:c r="B358" s="36" t="str">
        <x:v>ba5f4f8f-24ca-4dcd-aad2-5644f4e008ea</x:v>
      </x:c>
      <x:c r="C358" s="36" t="str">
        <x:v>Process steam from light fuel oil, consumption mix, at plant, heat plant, MJ</x:v>
      </x:c>
      <x:c r="D358" s="36" t="str">
        <x:v>BG</x:v>
      </x:c>
      <x:c r="E358" s="36" t="str">
        <x:v>ProcessType.LCI_RESULT</x:v>
      </x:c>
      <x:c r="F358" s="36" t="str"/>
      <x:c r="G358" s="36" t="str"/>
    </x:row>
    <x:row r="359">
      <x:c r="A359" s="36" t="str">
        <x:v>Electricity Mix, consumption mix, at consumer, AC, 230V | NL | ba65b4f5</x:v>
      </x:c>
      <x:c r="B359" s="36" t="str">
        <x:v>ba65b4f5-b979-4609-81ff-d0e16d8d2e59</x:v>
      </x:c>
      <x:c r="C359" s="36" t="str">
        <x:v>Electricity Mix, consumption mix, at consumer, AC, 230V</x:v>
      </x:c>
      <x:c r="D359" s="36" t="str">
        <x:v>NL</x:v>
      </x:c>
      <x:c r="E359" s="36" t="str">
        <x:v>ProcessType.LCI_RESULT</x:v>
      </x:c>
      <x:c r="F359" s="36" t="str"/>
      <x:c r="G359" s="36" t="str"/>
    </x:row>
    <x:row r="360">
      <x:c r="A360" s="36" t="str">
        <x:v>Process steam from heavy fuel oil, consumption mix, at plant, heat plant, MJ | IE | ba7570a7</x:v>
      </x:c>
      <x:c r="B360" s="36" t="str">
        <x:v>ba7570a7-7a45-44d1-8949-6e4dc2568292</x:v>
      </x:c>
      <x:c r="C360" s="36" t="str">
        <x:v>Process steam from heavy fuel oil, consumption mix, at plant, heat plant, MJ</x:v>
      </x:c>
      <x:c r="D360" s="36" t="str">
        <x:v>IE</x:v>
      </x:c>
      <x:c r="E360" s="36" t="str">
        <x:v>ProcessType.LCI_RESULT</x:v>
      </x:c>
      <x:c r="F360" s="36" t="str"/>
      <x:c r="G360" s="36" t="str"/>
    </x:row>
    <x:row r="361">
      <x:c r="A361" s="36" t="str">
        <x:v>Process steam from light fuel oil, consumption mix, at plant, heat plant, MJ | SE | bab6dd4e</x:v>
      </x:c>
      <x:c r="B361" s="36" t="str">
        <x:v>bab6dd4e-a2ea-4fd9-a585-e8edafcb42e1</x:v>
      </x:c>
      <x:c r="C361" s="36" t="str">
        <x:v>Process steam from light fuel oil, consumption mix, at plant, heat plant, MJ</x:v>
      </x:c>
      <x:c r="D361" s="36" t="str">
        <x:v>SE</x:v>
      </x:c>
      <x:c r="E361" s="36" t="str">
        <x:v>ProcessType.LCI_RESULT</x:v>
      </x:c>
      <x:c r="F361" s="36" t="str"/>
      <x:c r="G361" s="36" t="str"/>
    </x:row>
    <x:row r="362">
      <x:c r="A362" s="36" t="str">
        <x:v>Process steam from heavy fuel oil, consumption mix, at plant, heat plant, MJ | GB | bae2cad8</x:v>
      </x:c>
      <x:c r="B362" s="36" t="str">
        <x:v>bae2cad8-0a3e-4de8-b767-070ad53d2364</x:v>
      </x:c>
      <x:c r="C362" s="36" t="str">
        <x:v>Process steam from heavy fuel oil, consumption mix, at plant, heat plant, MJ</x:v>
      </x:c>
      <x:c r="D362" s="36" t="str">
        <x:v>GB</x:v>
      </x:c>
      <x:c r="E362" s="36" t="str">
        <x:v>ProcessType.LCI_RESULT</x:v>
      </x:c>
      <x:c r="F362" s="36" t="str"/>
      <x:c r="G362" s="36" t="str"/>
    </x:row>
    <x:row r="363">
      <x:c r="A363" s="36" t="str">
        <x:v>Electricity grid mix, consumption mix, at consumer, AC, &lt; 1kV | EU-27 | bb0a26d2</x:v>
      </x:c>
      <x:c r="B363" s="36" t="str">
        <x:v>bb0a26d2-f6a6-4965-8653-2f18ec553bfe</x:v>
      </x:c>
      <x:c r="C363" s="36" t="str">
        <x:v>Electricity grid mix, consumption mix, at consumer, AC, &lt; 1kV</x:v>
      </x:c>
      <x:c r="D363" s="36" t="str">
        <x:v>EU-27</x:v>
      </x:c>
      <x:c r="E363" s="36" t="str">
        <x:v>ProcessType.LCI_RESULT</x:v>
      </x:c>
      <x:c r="F363" s="36" t="str"/>
      <x:c r="G363" s="36" t="str"/>
    </x:row>
    <x:row r="364">
      <x:c r="A364" s="36" t="str">
        <x:v>Process steam from heavy fuel oil, consumption mix, at plant, heat plant, MJ | SI | bb6aa18a</x:v>
      </x:c>
      <x:c r="B364" s="36" t="str">
        <x:v>bb6aa18a-9acf-4e0a-957c-6d7b8350a6f3</x:v>
      </x:c>
      <x:c r="C364" s="36" t="str">
        <x:v>Process steam from heavy fuel oil, consumption mix, at plant, heat plant, MJ</x:v>
      </x:c>
      <x:c r="D364" s="36" t="str">
        <x:v>SI</x:v>
      </x:c>
      <x:c r="E364" s="36" t="str">
        <x:v>ProcessType.LCI_RESULT</x:v>
      </x:c>
      <x:c r="F364" s="36" t="str"/>
      <x:c r="G364" s="36" t="str"/>
    </x:row>
    <x:row r="365">
      <x:c r="A365" s="36" t="str">
        <x:v>Process steam from Light fuel oil 90 %, consumption mix, at power plant, heat plant, MJ, 90 % efficiency | BE | bcd16941</x:v>
      </x:c>
      <x:c r="B365" s="36" t="str">
        <x:v>bcd16941-3da5-452d-8dab-f5890570243a</x:v>
      </x:c>
      <x:c r="C365" s="36" t="str">
        <x:v>Process steam from Light fuel oil 90 %, consumption mix, at power plant, heat plant, MJ, 90 % efficiency</x:v>
      </x:c>
      <x:c r="D365" s="36" t="str">
        <x:v>BE</x:v>
      </x:c>
      <x:c r="E365" s="36" t="str">
        <x:v>ProcessType.LCI_RESULT</x:v>
      </x:c>
      <x:c r="F365" s="36" t="str"/>
      <x:c r="G365" s="36" t="str"/>
    </x:row>
    <x:row r="366">
      <x:c r="A366" s="36" t="str">
        <x:v>Particle board, production mix, at plant, P2 (Standard FPY), 7,8% water content | EU-27 | bd7fdac9</x:v>
      </x:c>
      <x:c r="B366" s="36" t="str">
        <x:v>bd7fdac9-40d5-4613-9374-6969803269d9</x:v>
      </x:c>
      <x:c r="C366" s="36" t="str">
        <x:v>Particle board, production mix, at plant, P2 (Standard FPY), 7,8% water content</x:v>
      </x:c>
      <x:c r="D366" s="36" t="str">
        <x:v>EU-27</x:v>
      </x:c>
      <x:c r="E366" s="36" t="str">
        <x:v>ProcessType.LCI_RESULT</x:v>
      </x:c>
      <x:c r="F366" s="36" t="str"/>
      <x:c r="G366" s="36" t="str"/>
    </x:row>
    <x:row r="367">
      <x:c r="A367" s="36" t="str">
        <x:v>Electricity Mix, consumption mix, at consumer, AC, 1kV - 60kV | GB | bf65c4c5</x:v>
      </x:c>
      <x:c r="B367" s="36" t="str">
        <x:v>bf65c4c5-175d-47ac-bcd2-27f418f3c4f4</x:v>
      </x:c>
      <x:c r="C367" s="36" t="str">
        <x:v>Electricity Mix, consumption mix, at consumer, AC, 1kV - 60kV</x:v>
      </x:c>
      <x:c r="D367" s="36" t="str">
        <x:v>GB</x:v>
      </x:c>
      <x:c r="E367" s="36" t="str">
        <x:v>ProcessType.LCI_RESULT</x:v>
      </x:c>
      <x:c r="F367" s="36" t="str"/>
      <x:c r="G367" s="36" t="str"/>
    </x:row>
    <x:row r="368">
      <x:c r="A368" s="36" t="str">
        <x:v>GCC slurry, Production at plant, Ground Calcium Carbonate (GCC) - slurry, unbleached and uncoated, with a solid content of 75% in the slurry, a CaCO3 content of 98% or more, a median particle size ranging typically from 1 to 3 µm, ready to be shipped ... | RER | c220ef06</x:v>
      </x:c>
      <x:c r="B368" s="36" t="str">
        <x:v>c220ef06-50b6-4037-b6b2-7562d01ea9e3</x:v>
      </x:c>
      <x:c r="C368" s="36" t="str">
        <x:v>GCC slurry, Production at plant, Ground Calcium Carbonate (GCC) - slurry, unbleached and uncoated, with a solid content of 75% in the slurry, a CaCO3 content of 98% or more, a median particle size ranging typically from 1 to 3 µm, ready to be shipped ...</x:v>
      </x:c>
      <x:c r="D368" s="36" t="str">
        <x:v>RER</x:v>
      </x:c>
      <x:c r="E368" s="36" t="str">
        <x:v>ProcessType.LCI_RESULT</x:v>
      </x:c>
      <x:c r="F368" s="36" t="str"/>
      <x:c r="G368" s="36" t="str"/>
    </x:row>
    <x:row r="369">
      <x:c r="A369" s="36" t="str">
        <x:v>Spruce log with bark, production mix entry to saw mill, at plant, refostered managed forest, 44% water content | DE | c3d872b0</x:v>
      </x:c>
      <x:c r="B369" s="36" t="str">
        <x:v>c3d872b0-c18d-46a5-ac37-d1573246bfce</x:v>
      </x:c>
      <x:c r="C369" s="36" t="str">
        <x:v>Spruce log with bark, production mix entry to saw mill, at plant, refostered managed forest, 44% water content</x:v>
      </x:c>
      <x:c r="D369" s="36" t="str">
        <x:v>DE</x:v>
      </x:c>
      <x:c r="E369" s="36" t="str">
        <x:v>ProcessType.LCI_RESULT</x:v>
      </x:c>
      <x:c r="F369" s="36" t="str"/>
      <x:c r="G369" s="36" t="str"/>
    </x:row>
    <x:row r="370">
      <x:c r="A370" s="36" t="str">
        <x:v>Electricity Mix, consumption mix, at consumer, AC, 220V | HU | c3dc3f1f</x:v>
      </x:c>
      <x:c r="B370" s="36" t="str">
        <x:v>c3dc3f1f-3641-4bfd-a04a-8e8432fc730e</x:v>
      </x:c>
      <x:c r="C370" s="36" t="str">
        <x:v>Electricity Mix, consumption mix, at consumer, AC, 220V</x:v>
      </x:c>
      <x:c r="D370" s="36" t="str">
        <x:v>HU</x:v>
      </x:c>
      <x:c r="E370" s="36" t="str">
        <x:v>ProcessType.LCI_RESULT</x:v>
      </x:c>
      <x:c r="F370" s="36" t="str"/>
      <x:c r="G370" s="36" t="str"/>
    </x:row>
    <x:row r="371">
      <x:c r="A371" s="36" t="str">
        <x:v>Electricity grid mix 1kV-60kV, consumption mix, at consumer, AC, 1kV - 60kV | NO | c4656800</x:v>
      </x:c>
      <x:c r="B371" s="36" t="str">
        <x:v>c4656800-3f33-485b-a29c-6dac4d5c9072</x:v>
      </x:c>
      <x:c r="C371" s="36" t="str">
        <x:v>Electricity grid mix 1kV-60kV, consumption mix, at consumer, AC, 1kV - 60kV</x:v>
      </x:c>
      <x:c r="D371" s="36" t="str">
        <x:v>NO</x:v>
      </x:c>
      <x:c r="E371" s="36" t="str">
        <x:v>ProcessType.LCI_RESULT</x:v>
      </x:c>
      <x:c r="F371" s="36" t="str"/>
      <x:c r="G371" s="36" t="str"/>
    </x:row>
    <x:row r="372">
      <x:c r="A372" s="36" t="str">
        <x:v>Electricity Mix, consumption mix, at consumer, AC, 230V | DK | c51b3a74</x:v>
      </x:c>
      <x:c r="B372" s="36" t="str">
        <x:v>c51b3a74-4a67-483b-be83-b6d6b8d21061</x:v>
      </x:c>
      <x:c r="C372" s="36" t="str">
        <x:v>Electricity Mix, consumption mix, at consumer, AC, 230V</x:v>
      </x:c>
      <x:c r="D372" s="36" t="str">
        <x:v>DK</x:v>
      </x:c>
      <x:c r="E372" s="36" t="str">
        <x:v>ProcessType.LCI_RESULT</x:v>
      </x:c>
      <x:c r="F372" s="36" t="str"/>
      <x:c r="G372" s="36" t="str"/>
    </x:row>
    <x:row r="373">
      <x:c r="A373" s="36" t="str">
        <x:v>Process steam from natural gas 90%, consumption mix, at power plant, heat plant, MJ, 90 % efficiency | CZ | c56e3664</x:v>
      </x:c>
      <x:c r="B373" s="36" t="str">
        <x:v>c56e3664-9338-4c84-a766-87201b92fd3e</x:v>
      </x:c>
      <x:c r="C373" s="36" t="str">
        <x:v>Process steam from natural gas 90%, consumption mix, at power plant, heat plant, MJ, 90 % efficiency</x:v>
      </x:c>
      <x:c r="D373" s="36" t="str">
        <x:v>CZ</x:v>
      </x:c>
      <x:c r="E373" s="36" t="str">
        <x:v>ProcessType.LCI_RESULT</x:v>
      </x:c>
      <x:c r="F373" s="36" t="str"/>
      <x:c r="G373" s="36" t="str"/>
    </x:row>
    <x:row r="374">
      <x:c r="A374" s="36" t="str">
        <x:v>Process steam from heavy fuel oil, consumption mix, at plant, heat plant, MJ | CZ | c6372760</x:v>
      </x:c>
      <x:c r="B374" s="36" t="str">
        <x:v>c6372760-cc1d-42c6-b139-77bcb6492236</x:v>
      </x:c>
      <x:c r="C374" s="36" t="str">
        <x:v>Process steam from heavy fuel oil, consumption mix, at plant, heat plant, MJ</x:v>
      </x:c>
      <x:c r="D374" s="36" t="str">
        <x:v>CZ</x:v>
      </x:c>
      <x:c r="E374" s="36" t="str">
        <x:v>ProcessType.LCI_RESULT</x:v>
      </x:c>
      <x:c r="F374" s="36" t="str"/>
      <x:c r="G374" s="36" t="str"/>
    </x:row>
    <x:row r="375">
      <x:c r="A375" s="36" t="str">
        <x:v>Process steam from natural gas 90%, consumption mix, at power plant, heat plant, MJ, 90 % efficiency | SK | c6a98580</x:v>
      </x:c>
      <x:c r="B375" s="36" t="str">
        <x:v>c6a98580-217e-4770-9256-c31a0b004dc3</x:v>
      </x:c>
      <x:c r="C375" s="36" t="str">
        <x:v>Process steam from natural gas 90%, consumption mix, at power plant, heat plant, MJ, 90 % efficiency</x:v>
      </x:c>
      <x:c r="D375" s="36" t="str">
        <x:v>SK</x:v>
      </x:c>
      <x:c r="E375" s="36" t="str">
        <x:v>ProcessType.LCI_RESULT</x:v>
      </x:c>
      <x:c r="F375" s="36" t="str"/>
      <x:c r="G375" s="36" t="str"/>
    </x:row>
    <x:row r="376">
      <x:c r="A376" s="36" t="str">
        <x:v>Electricity grid mix 1kV-60kV, consumption mix, at consumer, AC, 1kV - 60kV | FI | c6bc869d</x:v>
      </x:c>
      <x:c r="B376" s="36" t="str">
        <x:v>c6bc869d-3e8a-481a-8f3f-469c082df65e</x:v>
      </x:c>
      <x:c r="C376" s="36" t="str">
        <x:v>Electricity grid mix 1kV-60kV, consumption mix, at consumer, AC, 1kV - 60kV</x:v>
      </x:c>
      <x:c r="D376" s="36" t="str">
        <x:v>FI</x:v>
      </x:c>
      <x:c r="E376" s="36" t="str">
        <x:v>ProcessType.LCI_RESULT</x:v>
      </x:c>
      <x:c r="F376" s="36" t="str"/>
      <x:c r="G376" s="36" t="str"/>
    </x:row>
    <x:row r="377">
      <x:c r="A377" s="36" t="str">
        <x:v>Waste incineration of untreated wood (10,7% water content), at plant, average European waste-to-energy plant, without collection, transport and pre-treatment | EU-27 | c6f0b870</x:v>
      </x:c>
      <x:c r="B377" s="36" t="str">
        <x:v>c6f0b870-89bc-414f-a7b4-3398f56eae25</x:v>
      </x:c>
      <x:c r="C377" s="36" t="str">
        <x:v>Waste incineration of untreated wood (10,7% water content), at plant, average European waste-to-energy plant, without collection, transport and pre-treatment</x:v>
      </x:c>
      <x:c r="D377" s="36" t="str">
        <x:v>EU-27</x:v>
      </x:c>
      <x:c r="E377" s="36" t="str">
        <x:v>ProcessType.LCI_RESULT</x:v>
      </x:c>
      <x:c r="F377" s="36" t="str"/>
      <x:c r="G377" s="36" t="str"/>
    </x:row>
    <x:row r="378">
      <x:c r="A378" s="36" t="str">
        <x:v>Hydrogen chloride gas (HCl), production mix for PVC production, at plant | RER | c71f9b0f</x:v>
      </x:c>
      <x:c r="B378" s="36" t="str">
        <x:v>c71f9b0f-be89-4be7-a00c-086230324492</x:v>
      </x:c>
      <x:c r="C378" s="36" t="str">
        <x:v>Hydrogen chloride gas (HCl), production mix for PVC production, at plant</x:v>
      </x:c>
      <x:c r="D378" s="36" t="str">
        <x:v>RER</x:v>
      </x:c>
      <x:c r="E378" s="36" t="str">
        <x:v>ProcessType.LCI_RESULT</x:v>
      </x:c>
      <x:c r="F378" s="36" t="str"/>
      <x:c r="G378" s="36" t="str"/>
    </x:row>
    <x:row r="379">
      <x:c r="A379" s="36" t="str">
        <x:v>Process steam from Heavy fuel oil 90 %, consumption mix, at power plant, heat plant, MJ, 90 % efficiency | CH | c72f0a66</x:v>
      </x:c>
      <x:c r="B379" s="36" t="str">
        <x:v>c72f0a66-bef9-4926-996d-a5423cfbea2e</x:v>
      </x:c>
      <x:c r="C379" s="36" t="str">
        <x:v>Process steam from Heavy fuel oil 90 %, consumption mix, at power plant, heat plant, MJ, 90 % efficiency</x:v>
      </x:c>
      <x:c r="D379" s="36" t="str">
        <x:v>CH</x:v>
      </x:c>
      <x:c r="E379" s="36" t="str">
        <x:v>ProcessType.LCI_RESULT</x:v>
      </x:c>
      <x:c r="F379" s="36" t="str"/>
      <x:c r="G379" s="36" t="str"/>
    </x:row>
    <x:row r="380">
      <x:c r="A380" s="36" t="str">
        <x:v>Electricity Mix, consumption mix, at consumer, AC, 1kV - 60kV | BE | c76c5714</x:v>
      </x:c>
      <x:c r="B380" s="36" t="str">
        <x:v>c76c5714-f383-44f8-8882-f27d790042ef</x:v>
      </x:c>
      <x:c r="C380" s="36" t="str">
        <x:v>Electricity Mix, consumption mix, at consumer, AC, 1kV - 60kV</x:v>
      </x:c>
      <x:c r="D380" s="36" t="str">
        <x:v>BE</x:v>
      </x:c>
      <x:c r="E380" s="36" t="str">
        <x:v>ProcessType.LCI_RESULT</x:v>
      </x:c>
      <x:c r="F380" s="36" t="str"/>
      <x:c r="G380" s="36" t="str"/>
    </x:row>
    <x:row r="381">
      <x:c r="A381" s="36" t="str">
        <x:v>Process steam from light fuel oil, consumption mix, at plant, heat plant, MJ | IT | c84025a7</x:v>
      </x:c>
      <x:c r="B381" s="36" t="str">
        <x:v>c84025a7-1442-4200-b1d7-16b650017e6d</x:v>
      </x:c>
      <x:c r="C381" s="36" t="str">
        <x:v>Process steam from light fuel oil, consumption mix, at plant, heat plant, MJ</x:v>
      </x:c>
      <x:c r="D381" s="36" t="str">
        <x:v>IT</x:v>
      </x:c>
      <x:c r="E381" s="36" t="str">
        <x:v>ProcessType.LCI_RESULT</x:v>
      </x:c>
      <x:c r="F381" s="36" t="str"/>
      <x:c r="G381" s="36" t="str"/>
    </x:row>
    <x:row r="382">
      <x:c r="A382" s="36" t="str">
        <x:v>Electricity Mix, consumption mix, at consumer, AC, 230V | FR | c8d7f695</x:v>
      </x:c>
      <x:c r="B382" s="36" t="str">
        <x:v>c8d7f695-1c5b-4f9a-8491-8c58c20c190f</x:v>
      </x:c>
      <x:c r="C382" s="36" t="str">
        <x:v>Electricity Mix, consumption mix, at consumer, AC, 230V</x:v>
      </x:c>
      <x:c r="D382" s="36" t="str">
        <x:v>FR</x:v>
      </x:c>
      <x:c r="E382" s="36" t="str">
        <x:v>ProcessType.LCI_RESULT</x:v>
      </x:c>
      <x:c r="F382" s="36" t="str"/>
      <x:c r="G382" s="36" t="str"/>
    </x:row>
    <x:row r="383">
      <x:c r="A383" s="36" t="str">
        <x:v>Polystyrene expandable granulate (EPS), production mix, at plant | RER | c8da0e5d</x:v>
      </x:c>
      <x:c r="B383" s="36" t="str">
        <x:v>c8da0e5d-a0b9-4868-8153-b5b1ad0c171c</x:v>
      </x:c>
      <x:c r="C383" s="36" t="str">
        <x:v>Polystyrene expandable granulate (EPS), production mix, at plant</x:v>
      </x:c>
      <x:c r="D383" s="36" t="str">
        <x:v>RER</x:v>
      </x:c>
      <x:c r="E383" s="36" t="str">
        <x:v>ProcessType.LCI_RESULT</x:v>
      </x:c>
      <x:c r="F383" s="36" t="str"/>
      <x:c r="G383" s="36" t="str"/>
    </x:row>
    <x:row r="384">
      <x:c r="A384" s="36" t="str">
        <x:v>Electricity grid mix, consumption mix, at consumer, AC, 230V | FR | c90a9be1</x:v>
      </x:c>
      <x:c r="B384" s="36" t="str">
        <x:v>c90a9be1-dc64-4c4a-b161-3f5e964aacf2</x:v>
      </x:c>
      <x:c r="C384" s="36" t="str">
        <x:v>Electricity grid mix, consumption mix, at consumer, AC, 230V</x:v>
      </x:c>
      <x:c r="D384" s="36" t="str">
        <x:v>FR</x:v>
      </x:c>
      <x:c r="E384" s="36" t="str">
        <x:v>ProcessType.LCI_RESULT</x:v>
      </x:c>
      <x:c r="F384" s="36" t="str"/>
      <x:c r="G384" s="36" t="str"/>
    </x:row>
    <x:row r="385">
      <x:c r="A385" s="36" t="str">
        <x:v>Electricity grid mix 1kV-60kV, consumption mix, at consumer, AC, 1kV - 60kV | BE | c93541fe</x:v>
      </x:c>
      <x:c r="B385" s="36" t="str">
        <x:v>c93541fe-0b28-40b8-a890-9948e9f1d41f</x:v>
      </x:c>
      <x:c r="C385" s="36" t="str">
        <x:v>Electricity grid mix 1kV-60kV, consumption mix, at consumer, AC, 1kV - 60kV</x:v>
      </x:c>
      <x:c r="D385" s="36" t="str">
        <x:v>BE</x:v>
      </x:c>
      <x:c r="E385" s="36" t="str">
        <x:v>ProcessType.LCI_RESULT</x:v>
      </x:c>
      <x:c r="F385" s="36" t="str"/>
      <x:c r="G385" s="36" t="str"/>
    </x:row>
    <x:row r="386">
      <x:c r="A386" s="36" t="str">
        <x:v>Process steam from Light fuel oil 90 %, consumption mix, at power plant, heat plant, MJ, 90 % efficiency | PT | c9e67b38</x:v>
      </x:c>
      <x:c r="B386" s="36" t="str">
        <x:v>c9e67b38-e7f4-4907-bfbe-1d80e1011b05</x:v>
      </x:c>
      <x:c r="C386" s="36" t="str">
        <x:v>Process steam from Light fuel oil 90 %, consumption mix, at power plant, heat plant, MJ, 90 % efficiency</x:v>
      </x:c>
      <x:c r="D386" s="36" t="str">
        <x:v>PT</x:v>
      </x:c>
      <x:c r="E386" s="36" t="str">
        <x:v>ProcessType.LCI_RESULT</x:v>
      </x:c>
      <x:c r="F386" s="36" t="str"/>
      <x:c r="G386" s="36" t="str"/>
    </x:row>
    <x:row r="387">
      <x:c r="A387" s="36" t="str">
        <x:v>Process steam from Heavy fuel oil 90 %, consumption mix, at power plant, heat plant, MJ, 90 % efficiency | ES | ca065807</x:v>
      </x:c>
      <x:c r="B387" s="36" t="str">
        <x:v>ca065807-cab0-468f-a6e5-bc5d12ed6f74</x:v>
      </x:c>
      <x:c r="C387" s="36" t="str">
        <x:v>Process steam from Heavy fuel oil 90 %, consumption mix, at power plant, heat plant, MJ, 90 % efficiency</x:v>
      </x:c>
      <x:c r="D387" s="36" t="str">
        <x:v>ES</x:v>
      </x:c>
      <x:c r="E387" s="36" t="str">
        <x:v>ProcessType.LCI_RESULT</x:v>
      </x:c>
      <x:c r="F387" s="36" t="str"/>
      <x:c r="G387" s="36" t="str"/>
    </x:row>
    <x:row r="388">
      <x:c r="A388" s="36" t="str">
        <x:v>Heavy fuel oil at refinery (1.0wt.% S), production mix, at refinery, from crude oil, fuel supply, 1 wt.% sulphur | EU-27 | cac750e6</x:v>
      </x:c>
      <x:c r="B388" s="36" t="str">
        <x:v>cac750e6-f577-4e8b-af43-ae0000a55493</x:v>
      </x:c>
      <x:c r="C388" s="36" t="str">
        <x:v>Heavy fuel oil at refinery (1.0wt.% S), production mix, at refinery, from crude oil, fuel supply, 1 wt.% sulphur</x:v>
      </x:c>
      <x:c r="D388" s="36" t="str">
        <x:v>EU-27</x:v>
      </x:c>
      <x:c r="E388" s="36" t="str">
        <x:v>ProcessType.LCI_RESULT</x:v>
      </x:c>
      <x:c r="F388" s="36" t="str"/>
      <x:c r="G388" s="36" t="str"/>
    </x:row>
    <x:row r="389">
      <x:c r="A389" s="36" t="str">
        <x:v>Process steam from heavy fuel oil, consumption mix, at plant, heat plant, MJ | HU | cb8dd6d8</x:v>
      </x:c>
      <x:c r="B389" s="36" t="str">
        <x:v>cb8dd6d8-5185-4bd9-bdc9-7123590f7329</x:v>
      </x:c>
      <x:c r="C389" s="36" t="str">
        <x:v>Process steam from heavy fuel oil, consumption mix, at plant, heat plant, MJ</x:v>
      </x:c>
      <x:c r="D389" s="36" t="str">
        <x:v>HU</x:v>
      </x:c>
      <x:c r="E389" s="36" t="str">
        <x:v>ProcessType.LCI_RESULT</x:v>
      </x:c>
      <x:c r="F389" s="36" t="str"/>
      <x:c r="G389" s="36" t="str"/>
    </x:row>
    <x:row r="390">
      <x:c r="A390" s="36" t="str">
        <x:v>Process steam from natural gas 90 %, consumption mix, at power plant, heat plant, MJ, 90 % efficiency | SE | cc1586c7</x:v>
      </x:c>
      <x:c r="B390" s="36" t="str">
        <x:v>cc1586c7-305b-4400-a85e-a54d7204330c</x:v>
      </x:c>
      <x:c r="C390" s="36" t="str">
        <x:v>Process steam from natural gas 90 %, consumption mix, at power plant, heat plant, MJ, 90 % efficiency</x:v>
      </x:c>
      <x:c r="D390" s="36" t="str">
        <x:v>SE</x:v>
      </x:c>
      <x:c r="E390" s="36" t="str">
        <x:v>ProcessType.LCI_RESULT</x:v>
      </x:c>
      <x:c r="F390" s="36" t="str"/>
      <x:c r="G390" s="36" t="str"/>
    </x:row>
    <x:row r="391">
      <x:c r="A391" s="36" t="str">
        <x:v>Rail transport, technology mix, diesel driven, cargo | GLO | cc2db53f</x:v>
      </x:c>
      <x:c r="B391" s="36" t="str">
        <x:v>cc2db53f-724c-44ac-a6fd-0c0da36768df</x:v>
      </x:c>
      <x:c r="C391" s="36" t="str">
        <x:v>Rail transport, technology mix, diesel driven, cargo</x:v>
      </x:c>
      <x:c r="D391" s="36" t="str">
        <x:v>GLO</x:v>
      </x:c>
      <x:c r="E391" s="36" t="str">
        <x:v>ProcessType.UNIT_PROCESS</x:v>
      </x:c>
      <x:c r="F391" s="36" t="str"/>
      <x:c r="G391" s="36" t="str"/>
    </x:row>
    <x:row r="392">
      <x:c r="A392" s="36" t="str">
        <x:v>Gypsum plasterboard, production mix at factory, technology mix of plasterboard production, 12.5 mm thick, 10kg/m2 | EU-27 | cc39e70e</x:v>
      </x:c>
      <x:c r="B392" s="36" t="str">
        <x:v>cc39e70e-4a40-42b6-89e3-7305f0b95dc4</x:v>
      </x:c>
      <x:c r="C392" s="36" t="str">
        <x:v>Gypsum plasterboard, production mix at factory, technology mix of plasterboard production, 12.5 mm thick, 10kg/m2</x:v>
      </x:c>
      <x:c r="D392" s="36" t="str">
        <x:v>EU-27</x:v>
      </x:c>
      <x:c r="E392" s="36" t="str">
        <x:v>ProcessType.LCI_RESULT</x:v>
      </x:c>
      <x:c r="F392" s="36" t="str"/>
      <x:c r="G392" s="36" t="str"/>
    </x:row>
    <x:row r="393">
      <x:c r="A393" s="36" t="str">
        <x:v>Polyvinylchloride resin (E-PVC), production mix, at plant, emulsion polymerisation | RER | ccbdee3b</x:v>
      </x:c>
      <x:c r="B393" s="36" t="str">
        <x:v>ccbdee3b-27db-4852-a14c-ec73ad8421ea</x:v>
      </x:c>
      <x:c r="C393" s="36" t="str">
        <x:v>Polyvinylchloride resin (E-PVC), production mix, at plant, emulsion polymerisation</x:v>
      </x:c>
      <x:c r="D393" s="36" t="str">
        <x:v>RER</x:v>
      </x:c>
      <x:c r="E393" s="36" t="str">
        <x:v>ProcessType.LCI_RESULT</x:v>
      </x:c>
      <x:c r="F393" s="36" t="str"/>
      <x:c r="G393" s="36" t="str"/>
    </x:row>
    <x:row r="394">
      <x:c r="A394" s="36" t="str">
        <x:v>Anhydrite (CaSO4), production mix, at plant, technology mix of natural (33%), thermal (33%) and synthetic (33%) produced anhydrite, grinded and purified product | DE | cd4506dd</x:v>
      </x:c>
      <x:c r="B394" s="36" t="str">
        <x:v>cd4506dd-fd30-4370-82a7-d1a6f7fcad15</x:v>
      </x:c>
      <x:c r="C394" s="36" t="str">
        <x:v>Anhydrite (CaSO4), production mix, at plant, technology mix of natural (33%), thermal (33%) and synthetic (33%) produced anhydrite, grinded and purified product</x:v>
      </x:c>
      <x:c r="D394" s="36" t="str">
        <x:v>DE</x:v>
      </x:c>
      <x:c r="E394" s="36" t="str">
        <x:v>ProcessType.LCI_RESULT</x:v>
      </x:c>
      <x:c r="F394" s="36" t="str"/>
      <x:c r="G394" s="36" t="str"/>
    </x:row>
    <x:row r="395">
      <x:c r="A395" s="36" t="str">
        <x:v>Process steam from light fuel oil, consumption mix, at plant, heat plant, MJ | SK | cd6e0fc3</x:v>
      </x:c>
      <x:c r="B395" s="36" t="str">
        <x:v>cd6e0fc3-e568-4faa-b15e-b062fb7f6182</x:v>
      </x:c>
      <x:c r="C395" s="36" t="str">
        <x:v>Process steam from light fuel oil, consumption mix, at plant, heat plant, MJ</x:v>
      </x:c>
      <x:c r="D395" s="36" t="str">
        <x:v>SK</x:v>
      </x:c>
      <x:c r="E395" s="36" t="str">
        <x:v>ProcessType.LCI_RESULT</x:v>
      </x:c>
      <x:c r="F395" s="36" t="str"/>
      <x:c r="G395" s="36" t="str"/>
    </x:row>
    <x:row r="396">
      <x:c r="A396" s="36" t="str">
        <x:v>Process steam from light fuel oil, consumption mix, at plant, heat plant, MJ | DK | cd966b19</x:v>
      </x:c>
      <x:c r="B396" s="36" t="str">
        <x:v>cd966b19-e753-4215-9a43-eec6bddb79e8</x:v>
      </x:c>
      <x:c r="C396" s="36" t="str">
        <x:v>Process steam from light fuel oil, consumption mix, at plant, heat plant, MJ</x:v>
      </x:c>
      <x:c r="D396" s="36" t="str">
        <x:v>DK</x:v>
      </x:c>
      <x:c r="E396" s="36" t="str">
        <x:v>ProcessType.LCI_RESULT</x:v>
      </x:c>
      <x:c r="F396" s="36" t="str"/>
      <x:c r="G396" s="36" t="str"/>
    </x:row>
    <x:row r="397">
      <x:c r="A397" s="36" t="str">
        <x:v>Process steam from Light fuel oil 90 %, consumption mix, at power plant, heat plant, MJ, 90 % efficiency | RO | ce1fe386</x:v>
      </x:c>
      <x:c r="B397" s="36" t="str">
        <x:v>ce1fe386-e87e-434e-95d5-0d9715c192d8</x:v>
      </x:c>
      <x:c r="C397" s="36" t="str">
        <x:v>Process steam from Light fuel oil 90 %, consumption mix, at power plant, heat plant, MJ, 90 % efficiency</x:v>
      </x:c>
      <x:c r="D397" s="36" t="str">
        <x:v>RO</x:v>
      </x:c>
      <x:c r="E397" s="36" t="str">
        <x:v>ProcessType.LCI_RESULT</x:v>
      </x:c>
      <x:c r="F397" s="36" t="str"/>
      <x:c r="G397" s="36" t="str"/>
    </x:row>
    <x:row r="398">
      <x:c r="A398" s="36" t="str">
        <x:v>Electricity Mix, consumption mix, at consumer, AC, 230V | LU | ce4612ca</x:v>
      </x:c>
      <x:c r="B398" s="36" t="str">
        <x:v>ce4612ca-2d6b-43a9-a9dc-069847d4f000</x:v>
      </x:c>
      <x:c r="C398" s="36" t="str">
        <x:v>Electricity Mix, consumption mix, at consumer, AC, 230V</x:v>
      </x:c>
      <x:c r="D398" s="36" t="str">
        <x:v>LU</x:v>
      </x:c>
      <x:c r="E398" s="36" t="str">
        <x:v>ProcessType.LCI_RESULT</x:v>
      </x:c>
      <x:c r="F398" s="36" t="str"/>
      <x:c r="G398" s="36" t="str"/>
    </x:row>
    <x:row r="399">
      <x:c r="A399" s="36" t="str">
        <x:v>Electricity Mix, consumption mix, at consumer, AC, 1kV - 60kV | IT | ce82b33c</x:v>
      </x:c>
      <x:c r="B399" s="36" t="str">
        <x:v>ce82b33c-ea98-4ba2-b7cd-1838deff792d</x:v>
      </x:c>
      <x:c r="C399" s="36" t="str">
        <x:v>Electricity Mix, consumption mix, at consumer, AC, 1kV - 60kV</x:v>
      </x:c>
      <x:c r="D399" s="36" t="str">
        <x:v>IT</x:v>
      </x:c>
      <x:c r="E399" s="36" t="str">
        <x:v>ProcessType.LCI_RESULT</x:v>
      </x:c>
      <x:c r="F399" s="36" t="str"/>
      <x:c r="G399" s="36" t="str"/>
    </x:row>
    <x:row r="400">
      <x:c r="A400" s="36" t="str">
        <x:v>Process steam from natural gas 90%, consumption mix, at power plant, heat plant, MJ, 90 % efficiency | SI | ceeb4a1a</x:v>
      </x:c>
      <x:c r="B400" s="36" t="str">
        <x:v>ceeb4a1a-3f76-4a0c-bf9e-032275044947</x:v>
      </x:c>
      <x:c r="C400" s="36" t="str">
        <x:v>Process steam from natural gas 90%, consumption mix, at power plant, heat plant, MJ, 90 % efficiency</x:v>
      </x:c>
      <x:c r="D400" s="36" t="str">
        <x:v>SI</x:v>
      </x:c>
      <x:c r="E400" s="36" t="str">
        <x:v>ProcessType.LCI_RESULT</x:v>
      </x:c>
      <x:c r="F400" s="36" t="str"/>
      <x:c r="G400" s="36" t="str"/>
    </x:row>
    <x:row r="401">
      <x:c r="A401" s="36" t="str">
        <x:v>Process steam from heavy fuel oil, consumption mix, at plant, heat plant, MJ | ES | cef97a44</x:v>
      </x:c>
      <x:c r="B401" s="36" t="str">
        <x:v>cef97a44-c484-4bfa-b0f1-bcd8c96c1569</x:v>
      </x:c>
      <x:c r="C401" s="36" t="str">
        <x:v>Process steam from heavy fuel oil, consumption mix, at plant, heat plant, MJ</x:v>
      </x:c>
      <x:c r="D401" s="36" t="str">
        <x:v>ES</x:v>
      </x:c>
      <x:c r="E401" s="36" t="str">
        <x:v>ProcessType.LCI_RESULT</x:v>
      </x:c>
      <x:c r="F401" s="36" t="str"/>
      <x:c r="G401" s="36" t="str"/>
    </x:row>
    <x:row r="402">
      <x:c r="A402" s="36" t="str">
        <x:v>Process steam from natural gas 90 %, consumption mix, at power plant, heat plant, MJ, 90 % efficiency | ES | cfab3236</x:v>
      </x:c>
      <x:c r="B402" s="36" t="str">
        <x:v>cfab3236-d997-425c-bebd-a1b60310eaf4</x:v>
      </x:c>
      <x:c r="C402" s="36" t="str">
        <x:v>Process steam from natural gas 90 %, consumption mix, at power plant, heat plant, MJ, 90 % efficiency</x:v>
      </x:c>
      <x:c r="D402" s="36" t="str">
        <x:v>ES</x:v>
      </x:c>
      <x:c r="E402" s="36" t="str">
        <x:v>ProcessType.LCI_RESULT</x:v>
      </x:c>
      <x:c r="F402" s="36" t="str"/>
      <x:c r="G402" s="36" t="str"/>
    </x:row>
    <x:row r="403">
      <x:c r="A403" s="36" t="str">
        <x:v>Vinyl chloride monomer (VCM), production mix for PVC production , at plant | RER | d1240334</x:v>
      </x:c>
      <x:c r="B403" s="36" t="str">
        <x:v>d1240334-eb6a-47f4-93a1-4b5f0feba440</x:v>
      </x:c>
      <x:c r="C403" s="36" t="str">
        <x:v>Vinyl chloride monomer (VCM), production mix for PVC production , at plant</x:v>
      </x:c>
      <x:c r="D403" s="36" t="str">
        <x:v>RER</x:v>
      </x:c>
      <x:c r="E403" s="36" t="str">
        <x:v>ProcessType.LCI_RESULT</x:v>
      </x:c>
      <x:c r="F403" s="36" t="str"/>
      <x:c r="G403" s="36" t="str"/>
    </x:row>
    <x:row r="404">
      <x:c r="A404" s="36" t="str">
        <x:v>Continuous filament glass fibre (wet chopped strands), at plant | RER | d176c895</x:v>
      </x:c>
      <x:c r="B404" s="36" t="str">
        <x:v>d176c895-2f1a-4596-804a-0db4d363f8ab</x:v>
      </x:c>
      <x:c r="C404" s="36" t="str">
        <x:v>Continuous filament glass fibre (wet chopped strands), at plant</x:v>
      </x:c>
      <x:c r="D404" s="36" t="str">
        <x:v>RER</x:v>
      </x:c>
      <x:c r="E404" s="36" t="str">
        <x:v>ProcessType.LCI_RESULT</x:v>
      </x:c>
      <x:c r="F404" s="36" t="str"/>
      <x:c r="G404" s="36" t="str"/>
    </x:row>
    <x:row r="405">
      <x:c r="A405" s="36" t="str">
        <x:v>Continuous filament glass fibre (assembled rovings), at plant | RER | d1befc51</x:v>
      </x:c>
      <x:c r="B405" s="36" t="str">
        <x:v>d1befc51-af18-4725-b356-3c79be66b249</x:v>
      </x:c>
      <x:c r="C405" s="36" t="str">
        <x:v>Continuous filament glass fibre (assembled rovings), at plant</x:v>
      </x:c>
      <x:c r="D405" s="36" t="str">
        <x:v>RER</x:v>
      </x:c>
      <x:c r="E405" s="36" t="str">
        <x:v>ProcessType.LCI_RESULT</x:v>
      </x:c>
      <x:c r="F405" s="36" t="str"/>
      <x:c r="G405" s="36" t="str"/>
    </x:row>
    <x:row r="406">
      <x:c r="A406" s="36" t="str">
        <x:v>Bulk carrier ocean, technology mix, 100.000-200.000 dwt | GLO | d34a2c9d</x:v>
      </x:c>
      <x:c r="B406" s="36" t="str">
        <x:v>d34a2c9d-21e6-458a-ba08-2e03addb9083</x:v>
      </x:c>
      <x:c r="C406" s="36" t="str">
        <x:v>Bulk carrier ocean, technology mix, 100.000-200.000 dwt</x:v>
      </x:c>
      <x:c r="D406" s="36" t="str">
        <x:v>GLO</x:v>
      </x:c>
      <x:c r="E406" s="36" t="str">
        <x:v>ProcessType.UNIT_PROCESS</x:v>
      </x:c>
      <x:c r="F406" s="36" t="str"/>
      <x:c r="G406" s="36" t="str"/>
    </x:row>
    <x:row r="407">
      <x:c r="A407" s="36" t="str">
        <x:v>Electricity Mix, consumption mix, at consumer, AC, 1kV - 60kV | CZ | d34cad37</x:v>
      </x:c>
      <x:c r="B407" s="36" t="str">
        <x:v>d34cad37-8fbd-466f-b5db-9677f90b768d</x:v>
      </x:c>
      <x:c r="C407" s="36" t="str">
        <x:v>Electricity Mix, consumption mix, at consumer, AC, 1kV - 60kV</x:v>
      </x:c>
      <x:c r="D407" s="36" t="str">
        <x:v>CZ</x:v>
      </x:c>
      <x:c r="E407" s="36" t="str">
        <x:v>ProcessType.LCI_RESULT</x:v>
      </x:c>
      <x:c r="F407" s="36" t="str"/>
      <x:c r="G407" s="36" t="str"/>
    </x:row>
    <x:row r="408">
      <x:c r="A408" s="36" t="str">
        <x:v>Electricity grid mix, consumption mix, at consumer, AC, 230V | ES | d441b2b8</x:v>
      </x:c>
      <x:c r="B408" s="36" t="str">
        <x:v>d441b2b8-acdd-4825-8a8d-05a5cc5ab61a</x:v>
      </x:c>
      <x:c r="C408" s="36" t="str">
        <x:v>Electricity grid mix, consumption mix, at consumer, AC, 230V</x:v>
      </x:c>
      <x:c r="D408" s="36" t="str">
        <x:v>ES</x:v>
      </x:c>
      <x:c r="E408" s="36" t="str">
        <x:v>ProcessType.LCI_RESULT</x:v>
      </x:c>
      <x:c r="F408" s="36" t="str"/>
      <x:c r="G408" s="36" t="str"/>
    </x:row>
    <x:row r="409">
      <x:c r="A409" s="36" t="str">
        <x:v>Electricity Mix, consumption mix, at consumer, AC, 230V | IS | d5d84799</x:v>
      </x:c>
      <x:c r="B409" s="36" t="str">
        <x:v>d5d84799-7696-4876-87d3-0a02fcf26e93</x:v>
      </x:c>
      <x:c r="C409" s="36" t="str">
        <x:v>Electricity Mix, consumption mix, at consumer, AC, 230V</x:v>
      </x:c>
      <x:c r="D409" s="36" t="str">
        <x:v>IS</x:v>
      </x:c>
      <x:c r="E409" s="36" t="str">
        <x:v>ProcessType.LCI_RESULT</x:v>
      </x:c>
      <x:c r="F409" s="36" t="str"/>
      <x:c r="G409" s="36" t="str"/>
    </x:row>
    <x:row r="410">
      <x:c r="A410" s="36" t="str">
        <x:v>Process steam from light fuel oil, consumption mix, at plant, heat plant, MJ | EE | d6020cc8</x:v>
      </x:c>
      <x:c r="B410" s="36" t="str">
        <x:v>d6020cc8-ffc0-440c-b13f-c0c531879717</x:v>
      </x:c>
      <x:c r="C410" s="36" t="str">
        <x:v>Process steam from light fuel oil, consumption mix, at plant, heat plant, MJ</x:v>
      </x:c>
      <x:c r="D410" s="36" t="str">
        <x:v>EE</x:v>
      </x:c>
      <x:c r="E410" s="36" t="str">
        <x:v>ProcessType.LCI_RESULT</x:v>
      </x:c>
      <x:c r="F410" s="36" t="str"/>
      <x:c r="G410" s="36" t="str"/>
    </x:row>
    <x:row r="411">
      <x:c r="A411" s="36" t="str">
        <x:v>Process steam from heavy fuel oil, consumption mix, at plant, heat plant, MJ | NO | d6082887</x:v>
      </x:c>
      <x:c r="B411" s="36" t="str">
        <x:v>d6082887-a797-4841-a4e3-c1493b0c0353</x:v>
      </x:c>
      <x:c r="C411" s="36" t="str">
        <x:v>Process steam from heavy fuel oil, consumption mix, at plant, heat plant, MJ</x:v>
      </x:c>
      <x:c r="D411" s="36" t="str">
        <x:v>NO</x:v>
      </x:c>
      <x:c r="E411" s="36" t="str">
        <x:v>ProcessType.LCI_RESULT</x:v>
      </x:c>
      <x:c r="F411" s="36" t="str"/>
      <x:c r="G411" s="36" t="str"/>
    </x:row>
    <x:row r="412">
      <x:c r="A412" s="36" t="str">
        <x:v>Container glass (delivered to the end user of the contained product, reuse rate: 7%), production mix at plant, technology mix | RER | d7bbec20</x:v>
      </x:c>
      <x:c r="B412" s="36" t="str">
        <x:v>d7bbec20-f8d8-4a8a-9a99-c7cdafaaa77d</x:v>
      </x:c>
      <x:c r="C412" s="36" t="str">
        <x:v>Container glass (delivered to the end user of the contained product, reuse rate: 7%), production mix at plant, technology mix</x:v>
      </x:c>
      <x:c r="D412" s="36" t="str">
        <x:v>RER</x:v>
      </x:c>
      <x:c r="E412" s="36" t="str">
        <x:v>ProcessType.LCI_RESULT</x:v>
      </x:c>
      <x:c r="F412" s="36" t="str"/>
      <x:c r="G412" s="36" t="str"/>
    </x:row>
    <x:row r="413">
      <x:c r="A413" s="36" t="str">
        <x:v>Process steam from light fuel oil, consumption mix, at plant, heat plant, MJ | CH | d879e3dd</x:v>
      </x:c>
      <x:c r="B413" s="36" t="str">
        <x:v>d879e3dd-16ff-4dc4-b872-b953baf4078f</x:v>
      </x:c>
      <x:c r="C413" s="36" t="str">
        <x:v>Process steam from light fuel oil, consumption mix, at plant, heat plant, MJ</x:v>
      </x:c>
      <x:c r="D413" s="36" t="str">
        <x:v>CH</x:v>
      </x:c>
      <x:c r="E413" s="36" t="str">
        <x:v>ProcessType.LCI_RESULT</x:v>
      </x:c>
      <x:c r="F413" s="36" t="str"/>
      <x:c r="G413" s="36" t="str"/>
    </x:row>
    <x:row r="414">
      <x:c r="A414" s="36" t="str">
        <x:v>Process steam from light fuel oil, consumption mix, at plant, heat plant, MJ | GR | d8f21c14</x:v>
      </x:c>
      <x:c r="B414" s="36" t="str">
        <x:v>d8f21c14-5418-453c-b458-f46ea11451c4</x:v>
      </x:c>
      <x:c r="C414" s="36" t="str">
        <x:v>Process steam from light fuel oil, consumption mix, at plant, heat plant, MJ</x:v>
      </x:c>
      <x:c r="D414" s="36" t="str">
        <x:v>GR</x:v>
      </x:c>
      <x:c r="E414" s="36" t="str">
        <x:v>ProcessType.LCI_RESULT</x:v>
      </x:c>
      <x:c r="F414" s="36" t="str"/>
      <x:c r="G414" s="36" t="str"/>
    </x:row>
    <x:row r="415">
      <x:c r="A415" s="36" t="str">
        <x:v>Porocalce plaster production, Production mix at plant - Southern Italy, Porocalce plaster - Milling and mixing of sand, perlite, expanded glass, calcium hydroxide, 1 kg, Plaster | IT | da78eea3</x:v>
      </x:c>
      <x:c r="B415" s="36" t="str">
        <x:v>da78eea3-ead1-4379-80af-14a991a2a746</x:v>
      </x:c>
      <x:c r="C415" s="36" t="str">
        <x:v>Porocalce plaster production, Production mix at plant - Southern Italy, Porocalce plaster - Milling and mixing of sand, perlite, expanded glass, calcium hydroxide, 1 kg, Plaster</x:v>
      </x:c>
      <x:c r="D415" s="36" t="str">
        <x:v>IT</x:v>
      </x:c>
      <x:c r="E415" s="36" t="str">
        <x:v>ProcessType.LCI_RESULT</x:v>
      </x:c>
      <x:c r="F415" s="36" t="str"/>
      <x:c r="G415" s="36" t="str"/>
    </x:row>
    <x:row r="416">
      <x:c r="A416" s="36" t="str">
        <x:v>Lignite mix, consumption mix, at consumer, technology mix | EU-27 | da891445</x:v>
      </x:c>
      <x:c r="B416" s="36" t="str">
        <x:v>da891445-9212-4d35-9d3a-78b58cd1ca93</x:v>
      </x:c>
      <x:c r="C416" s="36" t="str">
        <x:v>Lignite mix, consumption mix, at consumer, technology mix</x:v>
      </x:c>
      <x:c r="D416" s="36" t="str">
        <x:v>EU-27</x:v>
      </x:c>
      <x:c r="E416" s="36" t="str">
        <x:v>ProcessType.LCI_RESULT</x:v>
      </x:c>
      <x:c r="F416" s="36" t="str"/>
      <x:c r="G416" s="36" t="str"/>
    </x:row>
    <x:row r="417">
      <x:c r="A417" s="36" t="str">
        <x:v>Heat, consumption mix, at consumer, residential heating systems from natural gas, condensing boiler, max. heat output 14,9 kW, at a temperature level of 55°C | EU-27 | db009010</x:v>
      </x:c>
      <x:c r="B417" s="36" t="str">
        <x:v>db009010-338f-11dd-bd11-0800200c9a66</x:v>
      </x:c>
      <x:c r="C417" s="36" t="str">
        <x:v>Heat, consumption mix, at consumer, residential heating systems from natural gas, condensing boiler, max. heat output 14,9 kW, at a temperature level of 55°C</x:v>
      </x:c>
      <x:c r="D417" s="36" t="str">
        <x:v>EU-27</x:v>
      </x:c>
      <x:c r="E417" s="36" t="str">
        <x:v>ProcessType.LCI_RESULT</x:v>
      </x:c>
      <x:c r="F417" s="36" t="str"/>
      <x:c r="G417" s="36" t="str"/>
    </x:row>
    <x:row r="418">
      <x:c r="A418" s="36" t="str">
        <x:v>Heat, consumption mix, at consumer, residential heating systems from wood pellets, boiler, max. heat output 14,9 kW, at a temperature level of 70°C | EU-27 | db009011</x:v>
      </x:c>
      <x:c r="B418" s="36" t="str">
        <x:v>db009011-338f-11dd-bd11-0800200c9a66</x:v>
      </x:c>
      <x:c r="C418" s="36" t="str">
        <x:v>Heat, consumption mix, at consumer, residential heating systems from wood pellets, boiler, max. heat output 14,9 kW, at a temperature level of 70°C</x:v>
      </x:c>
      <x:c r="D418" s="36" t="str">
        <x:v>EU-27</x:v>
      </x:c>
      <x:c r="E418" s="36" t="str">
        <x:v>ProcessType.LCI_RESULT</x:v>
      </x:c>
      <x:c r="F418" s="36" t="str"/>
      <x:c r="G418" s="36" t="str"/>
    </x:row>
    <x:row r="419">
      <x:c r="A419" s="36" t="str">
        <x:v>Heat, consumption mix, at consumer, residential heating systems from light fuel oil (low sulphur), condensing boiler, max. heat output 14,9   kW, at a temperature level of 55°C | EU-27 | db009012</x:v>
      </x:c>
      <x:c r="B419" s="36" t="str">
        <x:v>db009012-338f-11dd-bd11-0800200c9a66</x:v>
      </x:c>
      <x:c r="C419" s="36" t="str">
        <x:v>Heat, consumption mix, at consumer, residential heating systems from light fuel oil (low sulphur), condensing boiler, max. heat output 14,9   kW, at a temperature level of 55°C</x:v>
      </x:c>
      <x:c r="D419" s="36" t="str">
        <x:v>EU-27</x:v>
      </x:c>
      <x:c r="E419" s="36" t="str">
        <x:v>ProcessType.LCI_RESULT</x:v>
      </x:c>
      <x:c r="F419" s="36" t="str"/>
      <x:c r="G419" s="36" t="str"/>
    </x:row>
    <x:row r="420">
      <x:c r="A420" s="36" t="str">
        <x:v>Drinking water, production mix, at plant, water purification treatment, from groundwater | RER | db009013</x:v>
      </x:c>
      <x:c r="B420" s="36" t="str">
        <x:v>db009013-338f-11dd-bd11-0800200c9a66</x:v>
      </x:c>
      <x:c r="C420" s="36" t="str">
        <x:v>Drinking water, production mix, at plant, water purification treatment, from groundwater</x:v>
      </x:c>
      <x:c r="D420" s="36" t="str">
        <x:v>RER</x:v>
      </x:c>
      <x:c r="E420" s="36" t="str">
        <x:v>ProcessType.LCI_RESULT</x:v>
      </x:c>
      <x:c r="F420" s="36" t="str"/>
      <x:c r="G420" s="36" t="str"/>
    </x:row>
    <x:row r="421">
      <x:c r="A421" s="36" t="str">
        <x:v>Drinking water, production mix, at plant, water purification treatment, from surface water | RER | db009014</x:v>
      </x:c>
      <x:c r="B421" s="36" t="str">
        <x:v>db009014-338f-11dd-bd11-0800200c9a66</x:v>
      </x:c>
      <x:c r="C421" s="36" t="str">
        <x:v>Drinking water, production mix, at plant, water purification treatment, from surface water</x:v>
      </x:c>
      <x:c r="D421" s="36" t="str">
        <x:v>RER</x:v>
      </x:c>
      <x:c r="E421" s="36" t="str">
        <x:v>ProcessType.LCI_RESULT</x:v>
      </x:c>
      <x:c r="F421" s="36" t="str"/>
      <x:c r="G421" s="36" t="str"/>
    </x:row>
    <x:row r="422">
      <x:c r="A422" s="36" t="str">
        <x:v>Process water, production mix, at plant, ion exchange, from groundwater | RER | db009015</x:v>
      </x:c>
      <x:c r="B422" s="36" t="str">
        <x:v>db009015-338f-11dd-bd11-0800200c9a66</x:v>
      </x:c>
      <x:c r="C422" s="36" t="str">
        <x:v>Process water, production mix, at plant, ion exchange, from groundwater</x:v>
      </x:c>
      <x:c r="D422" s="36" t="str">
        <x:v>RER</x:v>
      </x:c>
      <x:c r="E422" s="36" t="str">
        <x:v>ProcessType.LCI_RESULT</x:v>
      </x:c>
      <x:c r="F422" s="36" t="str"/>
      <x:c r="G422" s="36" t="str"/>
    </x:row>
    <x:row r="423">
      <x:c r="A423" s="36" t="str">
        <x:v>Process water, production mix, at plant, ion exchange, from surface water | RER | db009016</x:v>
      </x:c>
      <x:c r="B423" s="36" t="str">
        <x:v>db009016-338f-11dd-bd11-0800200c9a66</x:v>
      </x:c>
      <x:c r="C423" s="36" t="str">
        <x:v>Process water, production mix, at plant, ion exchange, from surface water</x:v>
      </x:c>
      <x:c r="D423" s="36" t="str">
        <x:v>RER</x:v>
      </x:c>
      <x:c r="E423" s="36" t="str">
        <x:v>ProcessType.LCI_RESULT</x:v>
      </x:c>
      <x:c r="F423" s="36" t="str"/>
      <x:c r="G423" s="36" t="str"/>
    </x:row>
    <x:row r="424">
      <x:c r="A424" s="36" t="str">
        <x:v>De-ionised water, production mix, at plant, reverse osmosis, from groundwater | RER | db009017</x:v>
      </x:c>
      <x:c r="B424" s="36" t="str">
        <x:v>db009017-338f-11dd-bd11-0800200c9a66</x:v>
      </x:c>
      <x:c r="C424" s="36" t="str">
        <x:v>De-ionised water, production mix, at plant, reverse osmosis, from groundwater</x:v>
      </x:c>
      <x:c r="D424" s="36" t="str">
        <x:v>RER</x:v>
      </x:c>
      <x:c r="E424" s="36" t="str">
        <x:v>ProcessType.LCI_RESULT</x:v>
      </x:c>
      <x:c r="F424" s="36" t="str"/>
      <x:c r="G424" s="36" t="str"/>
    </x:row>
    <x:row r="425">
      <x:c r="A425" s="36" t="str">
        <x:v>De-ionised water, production mix, at plant, reverse osmosis, from surface water | RER | db009018</x:v>
      </x:c>
      <x:c r="B425" s="36" t="str">
        <x:v>db009018-338f-11dd-bd11-0800200c9a66</x:v>
      </x:c>
      <x:c r="C425" s="36" t="str">
        <x:v>De-ionised water, production mix, at plant, reverse osmosis, from surface water</x:v>
      </x:c>
      <x:c r="D425" s="36" t="str">
        <x:v>RER</x:v>
      </x:c>
      <x:c r="E425" s="36" t="str">
        <x:v>ProcessType.LCI_RESULT</x:v>
      </x:c>
      <x:c r="F425" s="36" t="str"/>
      <x:c r="G425" s="36" t="str"/>
    </x:row>
    <x:row r="426">
      <x:c r="A426" s="36" t="str">
        <x:v>Polyamide 6.6 fibres (PA 6.6), production mix, at plant, from adipic acid and hexamethylene diamine (HMDA), PA 6.6 granulate without additives | EU-27 | db009019</x:v>
      </x:c>
      <x:c r="B426" s="36" t="str">
        <x:v>db009019-338f-11dd-bd11-0800200c9a66</x:v>
      </x:c>
      <x:c r="C426" s="36" t="str">
        <x:v>Polyamide 6.6 fibres (PA 6.6), production mix, at plant, from adipic acid and hexamethylene diamine (HMDA), PA 6.6 granulate without additives</x:v>
      </x:c>
      <x:c r="D426" s="36" t="str">
        <x:v>EU-27</x:v>
      </x:c>
      <x:c r="E426" s="36" t="str">
        <x:v>ProcessType.LCI_RESULT</x:v>
      </x:c>
      <x:c r="F426" s="36" t="str"/>
      <x:c r="G426" s="36" t="str"/>
    </x:row>
    <x:row r="427">
      <x:c r="A427" s="36" t="str">
        <x:v>Polyacrylonitrile fibres (PAN), production mix, at plant, from acrylonitrile and methacrylate, PAN without additives | EU-27 | db00901a</x:v>
      </x:c>
      <x:c r="B427" s="36" t="str">
        <x:v>db00901a-338f-11dd-bd11-0800200c9a66</x:v>
      </x:c>
      <x:c r="C427" s="36" t="str">
        <x:v>Polyacrylonitrile fibres (PAN), production mix, at plant, from acrylonitrile and methacrylate, PAN without additives</x:v>
      </x:c>
      <x:c r="D427" s="36" t="str">
        <x:v>EU-27</x:v>
      </x:c>
      <x:c r="E427" s="36" t="str">
        <x:v>ProcessType.LCI_RESULT</x:v>
      </x:c>
      <x:c r="F427" s="36" t="str"/>
      <x:c r="G427" s="36" t="str"/>
    </x:row>
    <x:row r="428">
      <x:c r="A428" s="36" t="str">
        <x:v>Polypropylene fibres (PP), production mix, at plant, crude oil based, PP granulate without additives | EU-27 | db00901b</x:v>
      </x:c>
      <x:c r="B428" s="36" t="str">
        <x:v>db00901b-338f-11dd-bd11-0800200c9a66</x:v>
      </x:c>
      <x:c r="C428" s="36" t="str">
        <x:v>Polypropylene fibres (PP), production mix, at plant, crude oil based, PP granulate without additives</x:v>
      </x:c>
      <x:c r="D428" s="36" t="str">
        <x:v>EU-27</x:v>
      </x:c>
      <x:c r="E428" s="36" t="str">
        <x:v>ProcessType.LCI_RESULT</x:v>
      </x:c>
      <x:c r="F428" s="36" t="str"/>
      <x:c r="G428" s="36" t="str"/>
    </x:row>
    <x:row r="429">
      <x:c r="A429" s="36" t="str">
        <x:v>Polyethylene terephthalate fibres (PET), production mix, at plant, via dimethyl terephthalate (DMT), PET granulate without additives | EU-27 | db00901c</x:v>
      </x:c>
      <x:c r="B429" s="36" t="str">
        <x:v>db00901c-338f-11dd-bd11-0800200c9a66</x:v>
      </x:c>
      <x:c r="C429" s="36" t="str">
        <x:v>Polyethylene terephthalate fibres (PET), production mix, at plant, via dimethyl terephthalate (DMT), PET granulate without additives</x:v>
      </x:c>
      <x:c r="D429" s="36" t="str">
        <x:v>EU-27</x:v>
      </x:c>
      <x:c r="E429" s="36" t="str">
        <x:v>ProcessType.LCI_RESULT</x:v>
      </x:c>
      <x:c r="F429" s="36" t="str"/>
      <x:c r="G429" s="36" t="str"/>
    </x:row>
    <x:row r="430">
      <x:c r="A430" s="36" t="str">
        <x:v>Waste water treatment, at waste water treatment plant, chemical reduction/oxidation process, municipal waste water | RER | db00901d</x:v>
      </x:c>
      <x:c r="B430" s="36" t="str">
        <x:v>db00901d-338f-11dd-bd11-0800200c9a66</x:v>
      </x:c>
      <x:c r="C430" s="36" t="str">
        <x:v>Waste water treatment, at waste water treatment plant, chemical reduction/oxidation process, municipal waste water</x:v>
      </x:c>
      <x:c r="D430" s="36" t="str">
        <x:v>RER</x:v>
      </x:c>
      <x:c r="E430" s="36" t="str">
        <x:v>ProcessType.UNIT_PROCESS</x:v>
      </x:c>
      <x:c r="F430" s="36" t="str"/>
      <x:c r="G430" s="36" t="str"/>
    </x:row>
    <x:row r="431">
      <x:c r="A431" s="36" t="str">
        <x:v>Waste water treatment, at waste water treatment plant, industrial waste water according to the Directive 91/271/EEC concerning urban waste water treatment, slightly organic contaminated | EU-27 | db00901e</x:v>
      </x:c>
      <x:c r="B431" s="36" t="str">
        <x:v>db00901e-338f-11dd-bd11-0800200c9a66</x:v>
      </x:c>
      <x:c r="C431" s="36" t="str">
        <x:v>Waste water treatment, at waste water treatment plant, industrial waste water according to the Directive 91/271/EEC concerning urban waste water treatment, slightly organic contaminated</x:v>
      </x:c>
      <x:c r="D431" s="36" t="str">
        <x:v>EU-27</x:v>
      </x:c>
      <x:c r="E431" s="36" t="str">
        <x:v>ProcessType.LCI_RESULT</x:v>
      </x:c>
      <x:c r="F431" s="36" t="str"/>
      <x:c r="G431" s="36" t="str"/>
    </x:row>
    <x:row r="432">
      <x:c r="A432" s="36" t="str">
        <x:v>Waste water treatment, at waste water treatment plant, industrial waste water according to the Directive 91/271/EEC concerning urban waste water treatment, slightly organic and anorganic contaminated | EU-27 | db00901f</x:v>
      </x:c>
      <x:c r="B432" s="36" t="str">
        <x:v>db00901f-338f-11dd-bd11-0800200c9a66</x:v>
      </x:c>
      <x:c r="C432" s="36" t="str">
        <x:v>Waste water treatment, at waste water treatment plant, industrial waste water according to the Directive 91/271/EEC concerning urban waste water treatment, slightly organic and anorganic contaminated</x:v>
      </x:c>
      <x:c r="D432" s="36" t="str">
        <x:v>EU-27</x:v>
      </x:c>
      <x:c r="E432" s="36" t="str">
        <x:v>ProcessType.LCI_RESULT</x:v>
      </x:c>
      <x:c r="F432" s="36" t="str"/>
      <x:c r="G432" s="36" t="str"/>
    </x:row>
    <x:row r="433">
      <x:c r="A433" s="36" t="str">
        <x:v>Waste water treatment, at waste water treatment plant, industrial waste water according to the Directive 91/271/EEC concerning urban waste water treatment, organic contaminated | EU-27 | db009020</x:v>
      </x:c>
      <x:c r="B433" s="36" t="str">
        <x:v>db009020-338f-11dd-bd11-0800200c9a66</x:v>
      </x:c>
      <x:c r="C433" s="36" t="str">
        <x:v>Waste water treatment, at waste water treatment plant, industrial waste water according to the Directive 91/271/EEC concerning urban waste water treatment, organic contaminated</x:v>
      </x:c>
      <x:c r="D433" s="36" t="str">
        <x:v>EU-27</x:v>
      </x:c>
      <x:c r="E433" s="36" t="str">
        <x:v>ProcessType.LCI_RESULT</x:v>
      </x:c>
      <x:c r="F433" s="36" t="str"/>
      <x:c r="G433" s="36" t="str"/>
    </x:row>
    <x:row r="434">
      <x:c r="A434" s="36" t="str">
        <x:v>Benzene, production mix, at plant, technology mix, from pyrolysis gasoline, reformate and toluene dealkylation, liquid | EU-27 | db009021</x:v>
      </x:c>
      <x:c r="B434" s="36" t="str">
        <x:v>db009021-338f-11dd-bd11-0800200c9a66</x:v>
      </x:c>
      <x:c r="C434" s="36" t="str">
        <x:v>Benzene, production mix, at plant, technology mix, from pyrolysis gasoline, reformate and toluene dealkylation, liquid</x:v>
      </x:c>
      <x:c r="D434" s="36" t="str">
        <x:v>EU-27</x:v>
      </x:c>
      <x:c r="E434" s="36" t="str">
        <x:v>ProcessType.LCI_RESULT</x:v>
      </x:c>
      <x:c r="F434" s="36" t="str"/>
      <x:c r="G434" s="36" t="str"/>
    </x:row>
    <x:row r="435">
      <x:c r="A435" s="36" t="str">
        <x:v>Rail transport, technology mix, diesel driven, cargo | RER | db009023</x:v>
      </x:c>
      <x:c r="B435" s="36" t="str">
        <x:v>db009023-338f-11dd-bd11-0800200c9a66</x:v>
      </x:c>
      <x:c r="C435" s="36" t="str">
        <x:v>Rail transport, technology mix, diesel driven, cargo</x:v>
      </x:c>
      <x:c r="D435" s="36" t="str">
        <x:v>RER</x:v>
      </x:c>
      <x:c r="E435" s="36" t="str">
        <x:v>ProcessType.LCI_RESULT</x:v>
      </x:c>
      <x:c r="F435" s="36" t="str"/>
      <x:c r="G435" s="36" t="str"/>
    </x:row>
    <x:row r="436">
      <x:c r="A436" s="36" t="str">
        <x:v>Process steam from Heavy fuel oil 90 %, consumption mix, at power plant, heat plant, MJ, 90 % efficiency | SE | db821149</x:v>
      </x:c>
      <x:c r="B436" s="36" t="str">
        <x:v>db821149-d4ec-4c3a-b52a-ef22a6d1e302</x:v>
      </x:c>
      <x:c r="C436" s="36" t="str">
        <x:v>Process steam from Heavy fuel oil 90 %, consumption mix, at power plant, heat plant, MJ, 90 % efficiency</x:v>
      </x:c>
      <x:c r="D436" s="36" t="str">
        <x:v>SE</x:v>
      </x:c>
      <x:c r="E436" s="36" t="str">
        <x:v>ProcessType.LCI_RESULT</x:v>
      </x:c>
      <x:c r="F436" s="36" t="str"/>
      <x:c r="G436" s="36" t="str"/>
    </x:row>
    <x:row r="437">
      <x:c r="A437" s="36" t="str">
        <x:v>Electricity grid mix 1kV-60kV, consumption mix, at consumer, AC, 1kV - 60kV | SI | db9f5e2b</x:v>
      </x:c>
      <x:c r="B437" s="36" t="str">
        <x:v>db9f5e2b-4e51-4f82-912d-d26c91077f35</x:v>
      </x:c>
      <x:c r="C437" s="36" t="str">
        <x:v>Electricity grid mix 1kV-60kV, consumption mix, at consumer, AC, 1kV - 60kV</x:v>
      </x:c>
      <x:c r="D437" s="36" t="str">
        <x:v>SI</x:v>
      </x:c>
      <x:c r="E437" s="36" t="str">
        <x:v>ProcessType.LCI_RESULT</x:v>
      </x:c>
      <x:c r="F437" s="36" t="str"/>
      <x:c r="G437" s="36" t="str"/>
    </x:row>
    <x:row r="438">
      <x:c r="A438" s="36" t="str">
        <x:v>Process steam from Heavy fuel oil 90 %, consumption mix, at power plant, heat plant, MJ, 90 % efficiency | PL | dc8987af</x:v>
      </x:c>
      <x:c r="B438" s="36" t="str">
        <x:v>dc8987af-bfce-4820-8230-3ee42ffe4c89</x:v>
      </x:c>
      <x:c r="C438" s="36" t="str">
        <x:v>Process steam from Heavy fuel oil 90 %, consumption mix, at power plant, heat plant, MJ, 90 % efficiency</x:v>
      </x:c>
      <x:c r="D438" s="36" t="str">
        <x:v>PL</x:v>
      </x:c>
      <x:c r="E438" s="36" t="str">
        <x:v>ProcessType.LCI_RESULT</x:v>
      </x:c>
      <x:c r="F438" s="36" t="str"/>
      <x:c r="G438" s="36" t="str"/>
    </x:row>
    <x:row r="439">
      <x:c r="A439" s="36" t="str">
        <x:v>Electricity grid mix, consumption mix, at consumer, AC, 230V | CZ | dce81355</x:v>
      </x:c>
      <x:c r="B439" s="36" t="str">
        <x:v>dce81355-c4c0-486f-b442-5f10d67b3c18</x:v>
      </x:c>
      <x:c r="C439" s="36" t="str">
        <x:v>Electricity grid mix, consumption mix, at consumer, AC, 230V</x:v>
      </x:c>
      <x:c r="D439" s="36" t="str">
        <x:v>CZ</x:v>
      </x:c>
      <x:c r="E439" s="36" t="str">
        <x:v>ProcessType.LCI_RESULT</x:v>
      </x:c>
      <x:c r="F439" s="36" t="str"/>
      <x:c r="G439" s="36" t="str"/>
    </x:row>
    <x:row r="440">
      <x:c r="A440" s="36" t="str">
        <x:v>Process steam from Light fuel oil 90 %, consumption mix, at power plant, heat plant, MJ, 90 % efficiency | HU | dd225398</x:v>
      </x:c>
      <x:c r="B440" s="36" t="str">
        <x:v>dd225398-fe89-4e25-b821-3c38c3133d34</x:v>
      </x:c>
      <x:c r="C440" s="36" t="str">
        <x:v>Process steam from Light fuel oil 90 %, consumption mix, at power plant, heat plant, MJ, 90 % efficiency</x:v>
      </x:c>
      <x:c r="D440" s="36" t="str">
        <x:v>HU</x:v>
      </x:c>
      <x:c r="E440" s="36" t="str">
        <x:v>ProcessType.LCI_RESULT</x:v>
      </x:c>
      <x:c r="F440" s="36" t="str"/>
      <x:c r="G440" s="36" t="str"/>
    </x:row>
    <x:row r="441">
      <x:c r="A441" s="36" t="str">
        <x:v>Oxygen, production mix, at plant, via cryogenic air separation, gaseous | EU-27 | de25dd0e</x:v>
      </x:c>
      <x:c r="B441" s="36" t="str">
        <x:v>de25dd0e-0072-4e8d-af0d-df6b17c05e1e</x:v>
      </x:c>
      <x:c r="C441" s="36" t="str">
        <x:v>Oxygen, production mix, at plant, via cryogenic air separation, gaseous</x:v>
      </x:c>
      <x:c r="D441" s="36" t="str">
        <x:v>EU-27</x:v>
      </x:c>
      <x:c r="E441" s="36" t="str">
        <x:v>ProcessType.LCI_RESULT</x:v>
      </x:c>
      <x:c r="F441" s="36" t="str"/>
      <x:c r="G441" s="36" t="str"/>
    </x:row>
    <x:row r="442">
      <x:c r="A442" s="36" t="str">
        <x:v>Electricity Mix, consumption mix, at consumer, AC, 230V | CH | de60e9f5</x:v>
      </x:c>
      <x:c r="B442" s="36" t="str">
        <x:v>de60e9f5-87a0-40cb-ae54-11ec7eac8909</x:v>
      </x:c>
      <x:c r="C442" s="36" t="str">
        <x:v>Electricity Mix, consumption mix, at consumer, AC, 230V</x:v>
      </x:c>
      <x:c r="D442" s="36" t="str">
        <x:v>CH</x:v>
      </x:c>
      <x:c r="E442" s="36" t="str">
        <x:v>ProcessType.LCI_RESULT</x:v>
      </x:c>
      <x:c r="F442" s="36" t="str"/>
      <x:c r="G442" s="36" t="str"/>
    </x:row>
    <x:row r="443">
      <x:c r="A443" s="36" t="str">
        <x:v>PCC slurry, Production at plant, Precipitated Calcium Carbonate (PCC) - slurry, uncoated, with a solid content ranging from 15% to 40% in the slurry, a CaCO3 content of 98% or more, a median particle size ranging typically from 0.3 to 3 µm, ready to b... | RER | deb8f616</x:v>
      </x:c>
      <x:c r="B443" s="36" t="str">
        <x:v>deb8f616-d451-4904-b241-d7295713accf</x:v>
      </x:c>
      <x:c r="C443" s="36" t="str">
        <x:v>PCC slurry, Production at plant, Precipitated Calcium Carbonate (PCC) - slurry, uncoated, with a solid content ranging from 15% to 40% in the slurry, a CaCO3 content of 98% or more, a median particle size ranging typically from 0.3 to 3 µm, ready to b...</x:v>
      </x:c>
      <x:c r="D443" s="36" t="str">
        <x:v>RER</x:v>
      </x:c>
      <x:c r="E443" s="36" t="str">
        <x:v>ProcessType.LCI_RESULT</x:v>
      </x:c>
      <x:c r="F443" s="36" t="str"/>
      <x:c r="G443" s="36" t="str"/>
    </x:row>
    <x:row r="444">
      <x:c r="A444" s="36" t="str">
        <x:v>Electricity grid mix, consumption mix, at consumer, AC, 230V | HU | df5471d5</x:v>
      </x:c>
      <x:c r="B444" s="36" t="str">
        <x:v>df5471d5-1f02-4aca-b3e8-a485d4303ae4</x:v>
      </x:c>
      <x:c r="C444" s="36" t="str">
        <x:v>Electricity grid mix, consumption mix, at consumer, AC, 230V</x:v>
      </x:c>
      <x:c r="D444" s="36" t="str">
        <x:v>HU</x:v>
      </x:c>
      <x:c r="E444" s="36" t="str">
        <x:v>ProcessType.LCI_RESULT</x:v>
      </x:c>
      <x:c r="F444" s="36" t="str"/>
      <x:c r="G444" s="36" t="str"/>
    </x:row>
    <x:row r="445">
      <x:c r="A445" s="36" t="str">
        <x:v>Hard coal mix, consumption mix, at consumer, technology mix | EU-27 | dff13196</x:v>
      </x:c>
      <x:c r="B445" s="36" t="str">
        <x:v>dff13196-75d9-4179-8b45-7b35891ac38e</x:v>
      </x:c>
      <x:c r="C445" s="36" t="str">
        <x:v>Hard coal mix, consumption mix, at consumer, technology mix</x:v>
      </x:c>
      <x:c r="D445" s="36" t="str">
        <x:v>EU-27</x:v>
      </x:c>
      <x:c r="E445" s="36" t="str">
        <x:v>ProcessType.LCI_RESULT</x:v>
      </x:c>
      <x:c r="F445" s="36" t="str"/>
      <x:c r="G445" s="36" t="str"/>
    </x:row>
    <x:row r="446">
      <x:c r="A446" s="36" t="str">
        <x:v>Waste incineration of plastics (PE, PP, PS, PB), at plant, average European waste-to-energy plant, without collection, transport and pre-treatment | EU-27 | e01167ad</x:v>
      </x:c>
      <x:c r="B446" s="36" t="str">
        <x:v>e01167ad-6cf8-47a7-8df9-e89bf35cb704</x:v>
      </x:c>
      <x:c r="C446" s="36" t="str">
        <x:v>Waste incineration of plastics (PE, PP, PS, PB), at plant, average European waste-to-energy plant, without collection, transport and pre-treatment</x:v>
      </x:c>
      <x:c r="D446" s="36" t="str">
        <x:v>EU-27</x:v>
      </x:c>
      <x:c r="E446" s="36" t="str">
        <x:v>ProcessType.LCI_RESULT</x:v>
      </x:c>
      <x:c r="F446" s="36" t="str"/>
      <x:c r="G446" s="36" t="str"/>
    </x:row>
    <x:row r="447">
      <x:c r="A447" s="36" t="str">
        <x:v>Process steam from Light fuel oil 90 %, consumption mix, at power plant, heat plant, MJ, 90 % efficiency | EE | e02a2b87</x:v>
      </x:c>
      <x:c r="B447" s="36" t="str">
        <x:v>e02a2b87-57dd-4e0c-825c-2dc17333e41a</x:v>
      </x:c>
      <x:c r="C447" s="36" t="str">
        <x:v>Process steam from Light fuel oil 90 %, consumption mix, at power plant, heat plant, MJ, 90 % efficiency</x:v>
      </x:c>
      <x:c r="D447" s="36" t="str">
        <x:v>EE</x:v>
      </x:c>
      <x:c r="E447" s="36" t="str">
        <x:v>ProcessType.LCI_RESULT</x:v>
      </x:c>
      <x:c r="F447" s="36" t="str"/>
      <x:c r="G447" s="36" t="str"/>
    </x:row>
    <x:row r="448">
      <x:c r="A448" s="36" t="str">
        <x:v>Process steam from natural gas, consumption mix, at plant, heat plant, MJ | SE | e069b53f</x:v>
      </x:c>
      <x:c r="B448" s="36" t="str">
        <x:v>e069b53f-3825-4111-8c61-a4befcaff5aa</x:v>
      </x:c>
      <x:c r="C448" s="36" t="str">
        <x:v>Process steam from natural gas, consumption mix, at plant, heat plant, MJ</x:v>
      </x:c>
      <x:c r="D448" s="36" t="str">
        <x:v>SE</x:v>
      </x:c>
      <x:c r="E448" s="36" t="str">
        <x:v>ProcessType.LCI_RESULT</x:v>
      </x:c>
      <x:c r="F448" s="36" t="str"/>
      <x:c r="G448" s="36" t="str"/>
    </x:row>
    <x:row r="449">
      <x:c r="A449" s="36" t="str">
        <x:v>Process steam from light fuel oil, consumption mix, at plant, heat plant, MJ | CY | e131e07d</x:v>
      </x:c>
      <x:c r="B449" s="36" t="str">
        <x:v>e131e07d-f6b7-4429-bf23-3f101fcc99e0</x:v>
      </x:c>
      <x:c r="C449" s="36" t="str">
        <x:v>Process steam from light fuel oil, consumption mix, at plant, heat plant, MJ</x:v>
      </x:c>
      <x:c r="D449" s="36" t="str">
        <x:v>CY</x:v>
      </x:c>
      <x:c r="E449" s="36" t="str">
        <x:v>ProcessType.LCI_RESULT</x:v>
      </x:c>
      <x:c r="F449" s="36" t="str"/>
      <x:c r="G449" s="36" t="str"/>
    </x:row>
    <x:row r="450">
      <x:c r="A450" s="36" t="str">
        <x:v>Steel hot rolled coil (ILCD), production mix, at plant, blast furnace route, 1kg, typical thickness between 2 - 7 mm. typical width between 600 - 2100 mm | GLO | e16174fe</x:v>
      </x:c>
      <x:c r="B450" s="36" t="str">
        <x:v>e16174fe-6542-4572-90bc-8980616ebe53</x:v>
      </x:c>
      <x:c r="C450" s="36" t="str">
        <x:v>Steel hot rolled coil (ILCD), production mix, at plant, blast furnace route, 1kg, typical thickness between 2 - 7 mm. typical width between 600 - 2100 mm</x:v>
      </x:c>
      <x:c r="D450" s="36" t="str">
        <x:v>GLO</x:v>
      </x:c>
      <x:c r="E450" s="36" t="str">
        <x:v>ProcessType.LCI_RESULT</x:v>
      </x:c>
      <x:c r="F450" s="36" t="str"/>
      <x:c r="G450" s="36" t="str"/>
    </x:row>
    <x:row r="451">
      <x:c r="A451" s="36" t="str">
        <x:v>Process steam from Light fuel oil 90 %, consumption mix, at power plant, heat plant, MJ, 90 % efficiency | LT | e22e9408</x:v>
      </x:c>
      <x:c r="B451" s="36" t="str">
        <x:v>e22e9408-f3b7-486b-86e3-f54c5de23b8c</x:v>
      </x:c>
      <x:c r="C451" s="36" t="str">
        <x:v>Process steam from Light fuel oil 90 %, consumption mix, at power plant, heat plant, MJ, 90 % efficiency</x:v>
      </x:c>
      <x:c r="D451" s="36" t="str">
        <x:v>LT</x:v>
      </x:c>
      <x:c r="E451" s="36" t="str">
        <x:v>ProcessType.LCI_RESULT</x:v>
      </x:c>
      <x:c r="F451" s="36" t="str"/>
      <x:c r="G451" s="36" t="str"/>
    </x:row>
    <x:row r="452">
      <x:c r="A452" s="36" t="str">
        <x:v>Electricity grid mix 1kV-60kV, consumption mix, at consumer, AC, 1kV - 60kV | IS | e35262d2</x:v>
      </x:c>
      <x:c r="B452" s="36" t="str">
        <x:v>e35262d2-f91a-487b-af42-7e88f30c0d71</x:v>
      </x:c>
      <x:c r="C452" s="36" t="str">
        <x:v>Electricity grid mix 1kV-60kV, consumption mix, at consumer, AC, 1kV - 60kV</x:v>
      </x:c>
      <x:c r="D452" s="36" t="str">
        <x:v>IS</x:v>
      </x:c>
      <x:c r="E452" s="36" t="str">
        <x:v>ProcessType.LCI_RESULT</x:v>
      </x:c>
      <x:c r="F452" s="36" t="str"/>
      <x:c r="G452" s="36" t="str"/>
    </x:row>
    <x:row r="453">
      <x:c r="A453" s="36" t="str">
        <x:v>Process steam from heavy fuel oil, consumption mix, at plant, heat plant, MJ | AT | e3cd6a07</x:v>
      </x:c>
      <x:c r="B453" s="36" t="str">
        <x:v>e3cd6a07-b8b5-46dd-881b-2b77f6c3f27c</x:v>
      </x:c>
      <x:c r="C453" s="36" t="str">
        <x:v>Process steam from heavy fuel oil, consumption mix, at plant, heat plant, MJ</x:v>
      </x:c>
      <x:c r="D453" s="36" t="str">
        <x:v>AT</x:v>
      </x:c>
      <x:c r="E453" s="36" t="str">
        <x:v>ProcessType.LCI_RESULT</x:v>
      </x:c>
      <x:c r="F453" s="36" t="str"/>
      <x:c r="G453" s="36" t="str"/>
    </x:row>
    <x:row r="454">
      <x:c r="A454" s="36" t="str">
        <x:v>Process steam from Heavy fuel oil 90 %, consumption mix, at power plant, heat plant, MJ, 90 % efficiency | SK | e560be6f</x:v>
      </x:c>
      <x:c r="B454" s="36" t="str">
        <x:v>e560be6f-4b9d-4da1-b23f-aed4253f436b</x:v>
      </x:c>
      <x:c r="C454" s="36" t="str">
        <x:v>Process steam from Heavy fuel oil 90 %, consumption mix, at power plant, heat plant, MJ, 90 % efficiency</x:v>
      </x:c>
      <x:c r="D454" s="36" t="str">
        <x:v>SK</x:v>
      </x:c>
      <x:c r="E454" s="36" t="str">
        <x:v>ProcessType.LCI_RESULT</x:v>
      </x:c>
      <x:c r="F454" s="36" t="str"/>
      <x:c r="G454" s="36" t="str"/>
    </x:row>
    <x:row r="455">
      <x:c r="A455" s="36" t="str">
        <x:v>Process steam from natural gas, consumption mix, at plant, heat plant, MJ | EU-27 | e6b42a88</x:v>
      </x:c>
      <x:c r="B455" s="36" t="str">
        <x:v>e6b42a88-7301-485e-98d7-202cb33505e2</x:v>
      </x:c>
      <x:c r="C455" s="36" t="str">
        <x:v>Process steam from natural gas, consumption mix, at plant, heat plant, MJ</x:v>
      </x:c>
      <x:c r="D455" s="36" t="str">
        <x:v>EU-27</x:v>
      </x:c>
      <x:c r="E455" s="36" t="str">
        <x:v>ProcessType.LCI_RESULT</x:v>
      </x:c>
      <x:c r="F455" s="36" t="str"/>
      <x:c r="G455" s="36" t="str"/>
    </x:row>
    <x:row r="456">
      <x:c r="A456" s="36" t="str">
        <x:v>Electricity grid mix 1kV-60kV, consumption mix, at consumer, AC, 1kV - 60kV | MT | e7830723</x:v>
      </x:c>
      <x:c r="B456" s="36" t="str">
        <x:v>e7830723-15f7-47b8-8870-f30ca0c922e7</x:v>
      </x:c>
      <x:c r="C456" s="36" t="str">
        <x:v>Electricity grid mix 1kV-60kV, consumption mix, at consumer, AC, 1kV - 60kV</x:v>
      </x:c>
      <x:c r="D456" s="36" t="str">
        <x:v>MT</x:v>
      </x:c>
      <x:c r="E456" s="36" t="str">
        <x:v>ProcessType.LCI_RESULT</x:v>
      </x:c>
      <x:c r="F456" s="36" t="str"/>
      <x:c r="G456" s="36" t="str"/>
    </x:row>
    <x:row r="457">
      <x:c r="A457" s="36" t="str">
        <x:v>Nylon 66 GF 30 compound (PA 66 GF 30), production mix, at plant | RER | e7920ba8</x:v>
      </x:c>
      <x:c r="B457" s="36" t="str">
        <x:v>e7920ba8-e048-49b5-b16b-387a937b901b</x:v>
      </x:c>
      <x:c r="C457" s="36" t="str">
        <x:v>Nylon 66 GF 30 compound (PA 66 GF 30), production mix, at plant</x:v>
      </x:c>
      <x:c r="D457" s="36" t="str">
        <x:v>RER</x:v>
      </x:c>
      <x:c r="E457" s="36" t="str">
        <x:v>ProcessType.LCI_RESULT</x:v>
      </x:c>
      <x:c r="F457" s="36" t="str"/>
      <x:c r="G457" s="36" t="str"/>
    </x:row>
    <x:row r="458">
      <x:c r="A458" s="36" t="str">
        <x:v>Process steam from heavy fuel oil, consumption mix, at plant, heat plant, MJ | FR | e7b2759e</x:v>
      </x:c>
      <x:c r="B458" s="36" t="str">
        <x:v>e7b2759e-186d-4bf6-aa98-41eb3dccfc3c</x:v>
      </x:c>
      <x:c r="C458" s="36" t="str">
        <x:v>Process steam from heavy fuel oil, consumption mix, at plant, heat plant, MJ</x:v>
      </x:c>
      <x:c r="D458" s="36" t="str">
        <x:v>FR</x:v>
      </x:c>
      <x:c r="E458" s="36" t="str">
        <x:v>ProcessType.LCI_RESULT</x:v>
      </x:c>
      <x:c r="F458" s="36" t="str"/>
      <x:c r="G458" s="36" t="str"/>
    </x:row>
    <x:row r="459">
      <x:c r="A459" s="36" t="str">
        <x:v>Electricity Mix, consumption mix, at consumer, AC, 230V | RO | e7ca53ec</x:v>
      </x:c>
      <x:c r="B459" s="36" t="str">
        <x:v>e7ca53ec-792e-4573-92ca-9752658e8e9d</x:v>
      </x:c>
      <x:c r="C459" s="36" t="str">
        <x:v>Electricity Mix, consumption mix, at consumer, AC, 230V</x:v>
      </x:c>
      <x:c r="D459" s="36" t="str">
        <x:v>RO</x:v>
      </x:c>
      <x:c r="E459" s="36" t="str">
        <x:v>ProcessType.LCI_RESULT</x:v>
      </x:c>
      <x:c r="F459" s="36" t="str"/>
      <x:c r="G459" s="36" t="str"/>
    </x:row>
    <x:row r="460">
      <x:c r="A460" s="36" t="str">
        <x:v>Process steam from natural gas 90 %, consumption mix, at power plant, heat plant, MJ, 90 % efficiency | GB | e81d1c6c</x:v>
      </x:c>
      <x:c r="B460" s="36" t="str">
        <x:v>e81d1c6c-d422-4d68-8efb-a2d64a30aba6</x:v>
      </x:c>
      <x:c r="C460" s="36" t="str">
        <x:v>Process steam from natural gas 90 %, consumption mix, at power plant, heat plant, MJ, 90 % efficiency</x:v>
      </x:c>
      <x:c r="D460" s="36" t="str">
        <x:v>GB</x:v>
      </x:c>
      <x:c r="E460" s="36" t="str">
        <x:v>ProcessType.LCI_RESULT</x:v>
      </x:c>
      <x:c r="F460" s="36" t="str"/>
      <x:c r="G460" s="36" t="str"/>
    </x:row>
    <x:row r="461">
      <x:c r="A461" s="36" t="str">
        <x:v>Process steam from natural gas 90%, consumption mix, at power plant, heat plant, MJ, 90 % efficiency | LT | e87b056b</x:v>
      </x:c>
      <x:c r="B461" s="36" t="str">
        <x:v>e87b056b-aba7-492f-ad7c-25e9486ea41e</x:v>
      </x:c>
      <x:c r="C461" s="36" t="str">
        <x:v>Process steam from natural gas 90%, consumption mix, at power plant, heat plant, MJ, 90 % efficiency</x:v>
      </x:c>
      <x:c r="D461" s="36" t="str">
        <x:v>LT</x:v>
      </x:c>
      <x:c r="E461" s="36" t="str">
        <x:v>ProcessType.LCI_RESULT</x:v>
      </x:c>
      <x:c r="F461" s="36" t="str"/>
      <x:c r="G461" s="36" t="str"/>
    </x:row>
    <x:row r="462">
      <x:c r="A462" s="36" t="str">
        <x:v>Process steam from heavy fuel oil, consumption mix, at plant, heat plant, MJ | SK | e925898a</x:v>
      </x:c>
      <x:c r="B462" s="36" t="str">
        <x:v>e925898a-50ec-427c-a0d6-8696ac31a660</x:v>
      </x:c>
      <x:c r="C462" s="36" t="str">
        <x:v>Process steam from heavy fuel oil, consumption mix, at plant, heat plant, MJ</x:v>
      </x:c>
      <x:c r="D462" s="36" t="str">
        <x:v>SK</x:v>
      </x:c>
      <x:c r="E462" s="36" t="str">
        <x:v>ProcessType.LCI_RESULT</x:v>
      </x:c>
      <x:c r="F462" s="36" t="str"/>
      <x:c r="G462" s="36" t="str"/>
    </x:row>
    <x:row r="463">
      <x:c r="A463" s="36" t="str">
        <x:v>Process steam from natural gas 90 %, consumption mix, at power plant, heat plant, MJ, 90 % efficiency | FR | e95eb270</x:v>
      </x:c>
      <x:c r="B463" s="36" t="str">
        <x:v>e95eb270-0932-4950-9072-10b90037c7f2</x:v>
      </x:c>
      <x:c r="C463" s="36" t="str">
        <x:v>Process steam from natural gas 90 %, consumption mix, at power plant, heat plant, MJ, 90 % efficiency</x:v>
      </x:c>
      <x:c r="D463" s="36" t="str">
        <x:v>FR</x:v>
      </x:c>
      <x:c r="E463" s="36" t="str">
        <x:v>ProcessType.LCI_RESULT</x:v>
      </x:c>
      <x:c r="F463" s="36" t="str"/>
      <x:c r="G463" s="36" t="str"/>
    </x:row>
    <x:row r="464">
      <x:c r="A464" s="36" t="str">
        <x:v>Electricity Mix, consumption mix, at consumer, AC, 1kV - 60kV | ES | e9d82aa9</x:v>
      </x:c>
      <x:c r="B464" s="36" t="str">
        <x:v>e9d82aa9-0160-4993-8945-6c4a41dc594f</x:v>
      </x:c>
      <x:c r="C464" s="36" t="str">
        <x:v>Electricity Mix, consumption mix, at consumer, AC, 1kV - 60kV</x:v>
      </x:c>
      <x:c r="D464" s="36" t="str">
        <x:v>ES</x:v>
      </x:c>
      <x:c r="E464" s="36" t="str">
        <x:v>ProcessType.LCI_RESULT</x:v>
      </x:c>
      <x:c r="F464" s="36" t="str"/>
      <x:c r="G464" s="36" t="str"/>
    </x:row>
    <x:row r="465">
      <x:c r="A465" s="36" t="str">
        <x:v>Electricity grid mix 1kV-60kV, consumption mix, at consumer, AC, 1kV - 60kV | BG | eaf92022</x:v>
      </x:c>
      <x:c r="B465" s="36" t="str">
        <x:v>eaf92022-e9ac-403f-ad93-b10dfe358d7b</x:v>
      </x:c>
      <x:c r="C465" s="36" t="str">
        <x:v>Electricity grid mix 1kV-60kV, consumption mix, at consumer, AC, 1kV - 60kV</x:v>
      </x:c>
      <x:c r="D465" s="36" t="str">
        <x:v>BG</x:v>
      </x:c>
      <x:c r="E465" s="36" t="str">
        <x:v>ProcessType.LCI_RESULT</x:v>
      </x:c>
      <x:c r="F465" s="36" t="str"/>
      <x:c r="G465" s="36" t="str"/>
    </x:row>
    <x:row r="466">
      <x:c r="A466" s="36" t="str">
        <x:v>Electricity grid mix 1kV-60kV, consumption mix, at consumer, AC, 1kV - 60kV | IE | eb9ca519</x:v>
      </x:c>
      <x:c r="B466" s="36" t="str">
        <x:v>eb9ca519-6063-4b17-8626-9c4016f09b2b</x:v>
      </x:c>
      <x:c r="C466" s="36" t="str">
        <x:v>Electricity grid mix 1kV-60kV, consumption mix, at consumer, AC, 1kV - 60kV</x:v>
      </x:c>
      <x:c r="D466" s="36" t="str">
        <x:v>IE</x:v>
      </x:c>
      <x:c r="E466" s="36" t="str">
        <x:v>ProcessType.LCI_RESULT</x:v>
      </x:c>
      <x:c r="F466" s="36" t="str"/>
      <x:c r="G466" s="36" t="str"/>
    </x:row>
    <x:row r="467">
      <x:c r="A467" s="36" t="str">
        <x:v>Propene (Propylene), production mix, at plant, from steam cracking, gaseous | EU-27 | ec09778b</x:v>
      </x:c>
      <x:c r="B467" s="36" t="str">
        <x:v>ec09778b-711d-4078-8a9a-6cd37c4a4176</x:v>
      </x:c>
      <x:c r="C467" s="36" t="str">
        <x:v>Propene (Propylene), production mix, at plant, from steam cracking, gaseous</x:v>
      </x:c>
      <x:c r="D467" s="36" t="str">
        <x:v>EU-27</x:v>
      </x:c>
      <x:c r="E467" s="36" t="str">
        <x:v>ProcessType.LCI_RESULT</x:v>
      </x:c>
      <x:c r="F467" s="36" t="str"/>
      <x:c r="G467" s="36" t="str"/>
    </x:row>
    <x:row r="468">
      <x:c r="A468" s="36" t="str">
        <x:v>Electricity grid mix 1kV-60kV, consumption mix, at consumer, AC, 1kV - 60kV | AT | ec280d7b</x:v>
      </x:c>
      <x:c r="B468" s="36" t="str">
        <x:v>ec280d7b-d35b-4307-b0c4-05238af04fc0</x:v>
      </x:c>
      <x:c r="C468" s="36" t="str">
        <x:v>Electricity grid mix 1kV-60kV, consumption mix, at consumer, AC, 1kV - 60kV</x:v>
      </x:c>
      <x:c r="D468" s="36" t="str">
        <x:v>AT</x:v>
      </x:c>
      <x:c r="E468" s="36" t="str">
        <x:v>ProcessType.LCI_RESULT</x:v>
      </x:c>
      <x:c r="F468" s="36" t="str"/>
      <x:c r="G468" s="36" t="str"/>
    </x:row>
    <x:row r="469">
      <x:c r="A469" s="36" t="str">
        <x:v>Sulphur, consumption mix, at refinery, from crude oil, elemental sulphur | EU-15 | ec450ce7</x:v>
      </x:c>
      <x:c r="B469" s="36" t="str">
        <x:v>ec450ce7-4598-4ca5-9ab3-452ff1c750a4</x:v>
      </x:c>
      <x:c r="C469" s="36" t="str">
        <x:v>Sulphur, consumption mix, at refinery, from crude oil, elemental sulphur</x:v>
      </x:c>
      <x:c r="D469" s="36" t="str">
        <x:v>EU-15</x:v>
      </x:c>
      <x:c r="E469" s="36" t="str">
        <x:v>ProcessType.LCI_RESULT</x:v>
      </x:c>
      <x:c r="F469" s="36" t="str"/>
      <x:c r="G469" s="36" t="str"/>
    </x:row>
    <x:row r="470">
      <x:c r="A470" s="36" t="str">
        <x:v>Bulk carrier ocean, technology mix, 100.000-200.000 dwt | RER | ee57e8ac</x:v>
      </x:c>
      <x:c r="B470" s="36" t="str">
        <x:v>ee57e8ac-17cd-4538-be62-35d1095a30c2</x:v>
      </x:c>
      <x:c r="C470" s="36" t="str">
        <x:v>Bulk carrier ocean, technology mix, 100.000-200.000 dwt</x:v>
      </x:c>
      <x:c r="D470" s="36" t="str">
        <x:v>RER</x:v>
      </x:c>
      <x:c r="E470" s="36" t="str">
        <x:v>ProcessType.LCI_RESULT</x:v>
      </x:c>
      <x:c r="F470" s="36" t="str"/>
      <x:c r="G470" s="36" t="str"/>
    </x:row>
    <x:row r="471">
      <x:c r="A471" s="36" t="str">
        <x:v>Electricity Mix, consumption mix, at consumer, AC, 1kV - 60kV | EE | eeedcfdc</x:v>
      </x:c>
      <x:c r="B471" s="36" t="str">
        <x:v>eeedcfdc-042d-47d7-be9b-f7f23a58b2a5</x:v>
      </x:c>
      <x:c r="C471" s="36" t="str">
        <x:v>Electricity Mix, consumption mix, at consumer, AC, 1kV - 60kV</x:v>
      </x:c>
      <x:c r="D471" s="36" t="str">
        <x:v>EE</x:v>
      </x:c>
      <x:c r="E471" s="36" t="str">
        <x:v>ProcessType.LCI_RESULT</x:v>
      </x:c>
      <x:c r="F471" s="36" t="str"/>
      <x:c r="G471" s="36" t="str"/>
    </x:row>
    <x:row r="472">
      <x:c r="A472" s="36" t="str">
        <x:v>Electricity grid mix, consumption mix, at consumer, AC, 230V | RO | ef6e9eae</x:v>
      </x:c>
      <x:c r="B472" s="36" t="str">
        <x:v>ef6e9eae-f4e3-4c66-bdc0-2d193ddef912</x:v>
      </x:c>
      <x:c r="C472" s="36" t="str">
        <x:v>Electricity grid mix, consumption mix, at consumer, AC, 230V</x:v>
      </x:c>
      <x:c r="D472" s="36" t="str">
        <x:v>RO</x:v>
      </x:c>
      <x:c r="E472" s="36" t="str">
        <x:v>ProcessType.LCI_RESULT</x:v>
      </x:c>
      <x:c r="F472" s="36" t="str"/>
      <x:c r="G472" s="36" t="str"/>
    </x:row>
    <x:row r="473">
      <x:c r="A473" s="36" t="str">
        <x:v>Electricity Mix, consumption mix, at consumer, AC, 115-220V | ES | f0a6c237</x:v>
      </x:c>
      <x:c r="B473" s="36" t="str">
        <x:v>f0a6c237-873e-474e-a9cb-bcff8a6b3fe2</x:v>
      </x:c>
      <x:c r="C473" s="36" t="str">
        <x:v>Electricity Mix, consumption mix, at consumer, AC, 115-220V</x:v>
      </x:c>
      <x:c r="D473" s="36" t="str">
        <x:v>ES</x:v>
      </x:c>
      <x:c r="E473" s="36" t="str">
        <x:v>ProcessType.LCI_RESULT</x:v>
      </x:c>
      <x:c r="F473" s="36" t="str"/>
      <x:c r="G473" s="36" t="str"/>
    </x:row>
    <x:row r="474">
      <x:c r="A474" s="36" t="str">
        <x:v>Electricity Mix, consumption mix, at consumer, AC, 230V | PT | f19d5cc5</x:v>
      </x:c>
      <x:c r="B474" s="36" t="str">
        <x:v>f19d5cc5-9c0b-466a-9575-6b0d07e022a3</x:v>
      </x:c>
      <x:c r="C474" s="36" t="str">
        <x:v>Electricity Mix, consumption mix, at consumer, AC, 230V</x:v>
      </x:c>
      <x:c r="D474" s="36" t="str">
        <x:v>PT</x:v>
      </x:c>
      <x:c r="E474" s="36" t="str">
        <x:v>ProcessType.LCI_RESULT</x:v>
      </x:c>
      <x:c r="F474" s="36" t="str"/>
      <x:c r="G474" s="36" t="str"/>
    </x:row>
    <x:row r="475">
      <x:c r="A475" s="36" t="str">
        <x:v>Process steam from heavy fuel oil, consumption mix, at plant, heat plant, MJ | SE | f1bbe8c0</x:v>
      </x:c>
      <x:c r="B475" s="36" t="str">
        <x:v>f1bbe8c0-f67f-4773-8e4b-18b36779b1dc</x:v>
      </x:c>
      <x:c r="C475" s="36" t="str">
        <x:v>Process steam from heavy fuel oil, consumption mix, at plant, heat plant, MJ</x:v>
      </x:c>
      <x:c r="D475" s="36" t="str">
        <x:v>SE</x:v>
      </x:c>
      <x:c r="E475" s="36" t="str">
        <x:v>ProcessType.LCI_RESULT</x:v>
      </x:c>
      <x:c r="F475" s="36" t="str"/>
      <x:c r="G475" s="36" t="str"/>
    </x:row>
    <x:row r="476">
      <x:c r="A476" s="36" t="str">
        <x:v>Polyethylene low linear density granulate (PE-LLD), production mix, at plant | RER | f35313d3</x:v>
      </x:c>
      <x:c r="B476" s="36" t="str">
        <x:v>f35313d3-c5fa-4b97-a212-d11a122070f8</x:v>
      </x:c>
      <x:c r="C476" s="36" t="str">
        <x:v>Polyethylene low linear density granulate (PE-LLD), production mix, at plant</x:v>
      </x:c>
      <x:c r="D476" s="36" t="str">
        <x:v>RER</x:v>
      </x:c>
      <x:c r="E476" s="36" t="str">
        <x:v>ProcessType.LCI_RESULT</x:v>
      </x:c>
      <x:c r="F476" s="36" t="str"/>
      <x:c r="G476" s="36" t="str"/>
    </x:row>
    <x:row r="477">
      <x:c r="A477" s="36" t="str">
        <x:v>Process steam from light fuel oil, consumption mix, at plant, heat plant, MJ | SI | f376db57</x:v>
      </x:c>
      <x:c r="B477" s="36" t="str">
        <x:v>f376db57-a86e-47cc-be5b-e4508d017fa6</x:v>
      </x:c>
      <x:c r="C477" s="36" t="str">
        <x:v>Process steam from light fuel oil, consumption mix, at plant, heat plant, MJ</x:v>
      </x:c>
      <x:c r="D477" s="36" t="str">
        <x:v>SI</x:v>
      </x:c>
      <x:c r="E477" s="36" t="str">
        <x:v>ProcessType.LCI_RESULT</x:v>
      </x:c>
      <x:c r="F477" s="36" t="str"/>
      <x:c r="G477" s="36" t="str"/>
    </x:row>
    <x:row r="478">
      <x:c r="A478" s="36" t="str">
        <x:v>Process steam from Light fuel oil 90 %, consumption mix, at power plant, heat plant, MJ, 90 % efficiency | FR | f3f9e2e4</x:v>
      </x:c>
      <x:c r="B478" s="36" t="str">
        <x:v>f3f9e2e4-b51e-49a8-81f9-221b95c54fc4</x:v>
      </x:c>
      <x:c r="C478" s="36" t="str">
        <x:v>Process steam from Light fuel oil 90 %, consumption mix, at power plant, heat plant, MJ, 90 % efficiency</x:v>
      </x:c>
      <x:c r="D478" s="36" t="str">
        <x:v>FR</x:v>
      </x:c>
      <x:c r="E478" s="36" t="str">
        <x:v>ProcessType.LCI_RESULT</x:v>
      </x:c>
      <x:c r="F478" s="36" t="str"/>
      <x:c r="G478" s="36" t="str"/>
    </x:row>
    <x:row r="479">
      <x:c r="A479" s="36" t="str">
        <x:v>Gasoline mix (regular) at refinery, production mix, at refinery, from crude oil and bio components, fuel supply, 10 ppm sulphur, 5.75 wt.% bio components | EU-27 | f44f98ce</x:v>
      </x:c>
      <x:c r="B479" s="36" t="str">
        <x:v>f44f98ce-1d4c-4267-9d06-c7686b9488a3</x:v>
      </x:c>
      <x:c r="C479" s="36" t="str">
        <x:v>Gasoline mix (regular) at refinery, production mix, at refinery, from crude oil and bio components, fuel supply, 10 ppm sulphur, 5.75 wt.% bio components</x:v>
      </x:c>
      <x:c r="D479" s="36" t="str">
        <x:v>EU-27</x:v>
      </x:c>
      <x:c r="E479" s="36" t="str">
        <x:v>ProcessType.LCI_RESULT</x:v>
      </x:c>
      <x:c r="F479" s="36" t="str"/>
      <x:c r="G479" s="36" t="str"/>
    </x:row>
    <x:row r="480">
      <x:c r="A480" s="36" t="str">
        <x:v>Process steam from heavy fuel oil, consumption mix, at plant, heat plant, MJ | CH | f4b59536</x:v>
      </x:c>
      <x:c r="B480" s="36" t="str">
        <x:v>f4b59536-56bb-4cbc-aec5-790b84179720</x:v>
      </x:c>
      <x:c r="C480" s="36" t="str">
        <x:v>Process steam from heavy fuel oil, consumption mix, at plant, heat plant, MJ</x:v>
      </x:c>
      <x:c r="D480" s="36" t="str">
        <x:v>CH</x:v>
      </x:c>
      <x:c r="E480" s="36" t="str">
        <x:v>ProcessType.LCI_RESULT</x:v>
      </x:c>
      <x:c r="F480" s="36" t="str"/>
      <x:c r="G480" s="36" t="str"/>
    </x:row>
    <x:row r="481">
      <x:c r="A481" s="36" t="str">
        <x:v>Process steam from natural gas 90 %, consumption mix, at power plant, heat plant, MJ, 90 % efficiency | DE | f4f12d04</x:v>
      </x:c>
      <x:c r="B481" s="36" t="str">
        <x:v>f4f12d04-7105-4638-afea-753b0556241e</x:v>
      </x:c>
      <x:c r="C481" s="36" t="str">
        <x:v>Process steam from natural gas 90 %, consumption mix, at power plant, heat plant, MJ, 90 % efficiency</x:v>
      </x:c>
      <x:c r="D481" s="36" t="str">
        <x:v>DE</x:v>
      </x:c>
      <x:c r="E481" s="36" t="str">
        <x:v>ProcessType.LCI_RESULT</x:v>
      </x:c>
      <x:c r="F481" s="36" t="str"/>
      <x:c r="G481" s="36" t="str"/>
    </x:row>
    <x:row r="482">
      <x:c r="A482" s="36" t="str">
        <x:v>Electricity grid mix, consumption mix, at consumer, AC, 230V | BG | f61f58b8</x:v>
      </x:c>
      <x:c r="B482" s="36" t="str">
        <x:v>f61f58b8-5a56-4d77-ad34-7dbe66ec9165</x:v>
      </x:c>
      <x:c r="C482" s="36" t="str">
        <x:v>Electricity grid mix, consumption mix, at consumer, AC, 230V</x:v>
      </x:c>
      <x:c r="D482" s="36" t="str">
        <x:v>BG</x:v>
      </x:c>
      <x:c r="E482" s="36" t="str">
        <x:v>ProcessType.LCI_RESULT</x:v>
      </x:c>
      <x:c r="F482" s="36" t="str"/>
      <x:c r="G482" s="36" t="str"/>
    </x:row>
    <x:row r="483">
      <x:c r="A483" s="36" t="str">
        <x:v>Electricity Mix, consumption mix, at consumer, AC, 1kV - 60kV | AT | f64909f4</x:v>
      </x:c>
      <x:c r="B483" s="36" t="str">
        <x:v>f64909f4-e093-4400-91be-d6ea7f1a6907</x:v>
      </x:c>
      <x:c r="C483" s="36" t="str">
        <x:v>Electricity Mix, consumption mix, at consumer, AC, 1kV - 60kV</x:v>
      </x:c>
      <x:c r="D483" s="36" t="str">
        <x:v>AT</x:v>
      </x:c>
      <x:c r="E483" s="36" t="str">
        <x:v>ProcessType.LCI_RESULT</x:v>
      </x:c>
      <x:c r="F483" s="36" t="str"/>
      <x:c r="G483" s="36" t="str"/>
    </x:row>
    <x:row r="484">
      <x:c r="A484" s="36" t="str">
        <x:v>Process steam from heavy fuel oil, consumption mix, at plant, heat plant, MJ | PT | f70e4e1e</x:v>
      </x:c>
      <x:c r="B484" s="36" t="str">
        <x:v>f70e4e1e-536f-497d-8a64-4528898da8bd</x:v>
      </x:c>
      <x:c r="C484" s="36" t="str">
        <x:v>Process steam from heavy fuel oil, consumption mix, at plant, heat plant, MJ</x:v>
      </x:c>
      <x:c r="D484" s="36" t="str">
        <x:v>PT</x:v>
      </x:c>
      <x:c r="E484" s="36" t="str">
        <x:v>ProcessType.LCI_RESULT</x:v>
      </x:c>
      <x:c r="F484" s="36" t="str"/>
      <x:c r="G484" s="36" t="str"/>
    </x:row>
    <x:row r="485">
      <x:c r="A485" s="36" t="str">
        <x:v>Sodium hydroxide, production mix for PVC production, at plant, 100% NaOH | RER | f7ba74a4</x:v>
      </x:c>
      <x:c r="B485" s="36" t="str">
        <x:v>f7ba74a4-e81c-4084-97c9-b9dd5456446c</x:v>
      </x:c>
      <x:c r="C485" s="36" t="str">
        <x:v>Sodium hydroxide, production mix for PVC production, at plant, 100% NaOH</x:v>
      </x:c>
      <x:c r="D485" s="36" t="str">
        <x:v>RER</x:v>
      </x:c>
      <x:c r="E485" s="36" t="str">
        <x:v>ProcessType.LCI_RESULT</x:v>
      </x:c>
      <x:c r="F485" s="36" t="str"/>
      <x:c r="G485" s="36" t="str"/>
    </x:row>
    <x:row r="486">
      <x:c r="A486" s="36" t="str">
        <x:v>Oriented Strand Board, production mix, at plant, OSB III, 4,8% water content | EU-27 | f7e0f0fd</x:v>
      </x:c>
      <x:c r="B486" s="36" t="str">
        <x:v>f7e0f0fd-fb6b-40b5-9300-bddba423e084</x:v>
      </x:c>
      <x:c r="C486" s="36" t="str">
        <x:v>Oriented Strand Board, production mix, at plant, OSB III, 4,8% water content</x:v>
      </x:c>
      <x:c r="D486" s="36" t="str">
        <x:v>EU-27</x:v>
      </x:c>
      <x:c r="E486" s="36" t="str">
        <x:v>ProcessType.LCI_RESULT</x:v>
      </x:c>
      <x:c r="F486" s="36" t="str"/>
      <x:c r="G486" s="36" t="str"/>
    </x:row>
    <x:row r="487">
      <x:c r="A487" s="36" t="str">
        <x:v>Electricity Mix, consumption mix, at consumer, AC, 1kV - 60kV | NO | f80f77ee</x:v>
      </x:c>
      <x:c r="B487" s="36" t="str">
        <x:v>f80f77ee-c7f2-495f-ad0f-bfeed7bdb820</x:v>
      </x:c>
      <x:c r="C487" s="36" t="str">
        <x:v>Electricity Mix, consumption mix, at consumer, AC, 1kV - 60kV</x:v>
      </x:c>
      <x:c r="D487" s="36" t="str">
        <x:v>NO</x:v>
      </x:c>
      <x:c r="E487" s="36" t="str">
        <x:v>ProcessType.LCI_RESULT</x:v>
      </x:c>
      <x:c r="F487" s="36" t="str"/>
      <x:c r="G487" s="36" t="str"/>
    </x:row>
    <x:row r="488">
      <x:c r="A488" s="36" t="str">
        <x:v>Electricity grid mix 1kV-60kV, consumption mix, at consumer, AC, 1kV - 60kV | LV | f89a438f</x:v>
      </x:c>
      <x:c r="B488" s="36" t="str">
        <x:v>f89a438f-fa10-4de7-8df8-aed25ebabecb</x:v>
      </x:c>
      <x:c r="C488" s="36" t="str">
        <x:v>Electricity grid mix 1kV-60kV, consumption mix, at consumer, AC, 1kV - 60kV</x:v>
      </x:c>
      <x:c r="D488" s="36" t="str">
        <x:v>LV</x:v>
      </x:c>
      <x:c r="E488" s="36" t="str">
        <x:v>ProcessType.LCI_RESULT</x:v>
      </x:c>
      <x:c r="F488" s="36" t="str"/>
      <x:c r="G488" s="36" t="str"/>
    </x:row>
    <x:row r="489">
      <x:c r="A489" s="36" t="str">
        <x:v>Electricity Mix, consumption mix, at consumer, AC, 230V | AT | f8a2668d</x:v>
      </x:c>
      <x:c r="B489" s="36" t="str">
        <x:v>f8a2668d-9b8c-4759-b736-1b848a211902</x:v>
      </x:c>
      <x:c r="C489" s="36" t="str">
        <x:v>Electricity Mix, consumption mix, at consumer, AC, 230V</x:v>
      </x:c>
      <x:c r="D489" s="36" t="str">
        <x:v>AT</x:v>
      </x:c>
      <x:c r="E489" s="36" t="str">
        <x:v>ProcessType.LCI_RESULT</x:v>
      </x:c>
      <x:c r="F489" s="36" t="str"/>
      <x:c r="G489" s="36" t="str"/>
    </x:row>
    <x:row r="490">
      <x:c r="A490" s="36" t="str">
        <x:v>Process steam from heavy fuel oil, consumption mix, at plant, heat plant, MJ | PL | f8ab8f94</x:v>
      </x:c>
      <x:c r="B490" s="36" t="str">
        <x:v>f8ab8f94-8e42-4dc3-ae50-7f530d4f12f1</x:v>
      </x:c>
      <x:c r="C490" s="36" t="str">
        <x:v>Process steam from heavy fuel oil, consumption mix, at plant, heat plant, MJ</x:v>
      </x:c>
      <x:c r="D490" s="36" t="str">
        <x:v>PL</x:v>
      </x:c>
      <x:c r="E490" s="36" t="str">
        <x:v>ProcessType.LCI_RESULT</x:v>
      </x:c>
      <x:c r="F490" s="36" t="str"/>
      <x:c r="G490" s="36" t="str"/>
    </x:row>
    <x:row r="491">
      <x:c r="A491" s="36" t="str">
        <x:v>Steel hot rolled section, production mix, at plant, blast furnace and electric arc furnace route, | GLO | f9d4581e</x:v>
      </x:c>
      <x:c r="B491" s="36" t="str">
        <x:v>f9d4581e-14de-417e-8f9f-6c74e6f14051</x:v>
      </x:c>
      <x:c r="C491" s="36" t="str">
        <x:v>Steel hot rolled section, production mix, at plant, blast furnace and electric arc furnace route,</x:v>
      </x:c>
      <x:c r="D491" s="36" t="str">
        <x:v>GLO</x:v>
      </x:c>
      <x:c r="E491" s="36" t="str">
        <x:v>ProcessType.LCI_RESULT</x:v>
      </x:c>
      <x:c r="F491" s="36" t="str"/>
      <x:c r="G491" s="36" t="str"/>
    </x:row>
    <x:row r="492">
      <x:c r="A492" s="36" t="str">
        <x:v>Nylon 6 granulate (PA 6), production mix, at plant | RER | fad4c07f</x:v>
      </x:c>
      <x:c r="B492" s="36" t="str">
        <x:v>fad4c07f-40db-48fa-8d62-de5ae8d9fcbf</x:v>
      </x:c>
      <x:c r="C492" s="36" t="str">
        <x:v>Nylon 6 granulate (PA 6), production mix, at plant</x:v>
      </x:c>
      <x:c r="D492" s="36" t="str">
        <x:v>RER</x:v>
      </x:c>
      <x:c r="E492" s="36" t="str">
        <x:v>ProcessType.LCI_RESULT</x:v>
      </x:c>
      <x:c r="F492" s="36" t="str"/>
      <x:c r="G492" s="36" t="str"/>
    </x:row>
    <x:row r="493">
      <x:c r="A493" s="36" t="str">
        <x:v>Process steam from natural gas 90%, consumption mix, at power plant, heat plant, MJ, 90 % efficiency | LV | fc0019a5</x:v>
      </x:c>
      <x:c r="B493" s="36" t="str">
        <x:v>fc0019a5-3247-41dd-90bb-041e89ef3839</x:v>
      </x:c>
      <x:c r="C493" s="36" t="str">
        <x:v>Process steam from natural gas 90%, consumption mix, at power plant, heat plant, MJ, 90 % efficiency</x:v>
      </x:c>
      <x:c r="D493" s="36" t="str">
        <x:v>LV</x:v>
      </x:c>
      <x:c r="E493" s="36" t="str">
        <x:v>ProcessType.LCI_RESULT</x:v>
      </x:c>
      <x:c r="F493" s="36" t="str"/>
      <x:c r="G493" s="36" t="str"/>
    </x:row>
    <x:row r="494">
      <x:c r="A494" s="36" t="str">
        <x:v>Electricity Mix, consumption mix, at consumer, AC, 220V | SK | fc7889ca</x:v>
      </x:c>
      <x:c r="B494" s="36" t="str">
        <x:v>fc7889ca-c29d-4266-87bc-01b0fbc01d9b</x:v>
      </x:c>
      <x:c r="C494" s="36" t="str">
        <x:v>Electricity Mix, consumption mix, at consumer, AC, 220V</x:v>
      </x:c>
      <x:c r="D494" s="36" t="str">
        <x:v>SK</x:v>
      </x:c>
      <x:c r="E494" s="36" t="str">
        <x:v>ProcessType.LCI_RESULT</x:v>
      </x:c>
      <x:c r="F494" s="36" t="str"/>
      <x:c r="G494" s="36" t="str"/>
    </x:row>
    <x:row r="495">
      <x:c r="A495" s="36" t="str">
        <x:v>Process steam from Heavy fuel oil 90 %, consumption mix, at power plant, heat plant, MJ, 90 % efficiency | BE | fccea4d2</x:v>
      </x:c>
      <x:c r="B495" s="36" t="str">
        <x:v>fccea4d2-8716-44fe-9d1c-9a9f00d45aa7</x:v>
      </x:c>
      <x:c r="C495" s="36" t="str">
        <x:v>Process steam from Heavy fuel oil 90 %, consumption mix, at power plant, heat plant, MJ, 90 % efficiency</x:v>
      </x:c>
      <x:c r="D495" s="36" t="str">
        <x:v>BE</x:v>
      </x:c>
      <x:c r="E495" s="36" t="str">
        <x:v>ProcessType.LCI_RESULT</x:v>
      </x:c>
      <x:c r="F495" s="36" t="str"/>
      <x:c r="G495" s="36" t="str"/>
    </x:row>
    <x:row r="496">
      <x:c r="A496" s="36" t="str">
        <x:v>Hard Coal, consumption mix, at power plant, from underground and open pit mining | EU-27 | fd9db250</x:v>
      </x:c>
      <x:c r="B496" s="36" t="str">
        <x:v>fd9db250-4998-11dd-ae16-0800200c9a66</x:v>
      </x:c>
      <x:c r="C496" s="36" t="str">
        <x:v>Hard Coal, consumption mix, at power plant, from underground and open pit mining</x:v>
      </x:c>
      <x:c r="D496" s="36" t="str">
        <x:v>EU-27</x:v>
      </x:c>
      <x:c r="E496" s="36" t="str">
        <x:v>ProcessType.LCI_RESULT</x:v>
      </x:c>
      <x:c r="F496" s="36" t="str"/>
      <x:c r="G496" s="36" t="str"/>
    </x:row>
    <x:row r="497">
      <x:c r="A497" s="36" t="str">
        <x:v>Lignite, consumption mix, at power plant, from open pit mining | EU-27 | fd9db251</x:v>
      </x:c>
      <x:c r="B497" s="36" t="str">
        <x:v>fd9db251-4998-11dd-ae16-0800200c9a66</x:v>
      </x:c>
      <x:c r="C497" s="36" t="str">
        <x:v>Lignite, consumption mix, at power plant, from open pit mining</x:v>
      </x:c>
      <x:c r="D497" s="36" t="str">
        <x:v>EU-27</x:v>
      </x:c>
      <x:c r="E497" s="36" t="str">
        <x:v>ProcessType.LCI_RESULT</x:v>
      </x:c>
      <x:c r="F497" s="36" t="str"/>
      <x:c r="G497" s="36" t="str"/>
    </x:row>
    <x:row r="498">
      <x:c r="A498" s="36" t="str">
        <x:v>Special high grade zinc, production mix, at plant, primary production | GLO | fd9db252</x:v>
      </x:c>
      <x:c r="B498" s="36" t="str">
        <x:v>fd9db252-4998-11dd-ae16-0800200c9a66</x:v>
      </x:c>
      <x:c r="C498" s="36" t="str">
        <x:v>Special high grade zinc, production mix, at plant, primary production</x:v>
      </x:c>
      <x:c r="D498" s="36" t="str">
        <x:v>GLO</x:v>
      </x:c>
      <x:c r="E498" s="36" t="str">
        <x:v>ProcessType.LCI_RESULT</x:v>
      </x:c>
      <x:c r="F498" s="36" t="str"/>
      <x:c r="G498" s="36" t="str"/>
    </x:row>
    <x:row r="499">
      <x:c r="A499" s="36" t="str">
        <x:v>Lead, consumption mix, at plant, primary | DE | fd9db253</x:v>
      </x:c>
      <x:c r="B499" s="36" t="str">
        <x:v>fd9db253-4998-11dd-ae16-0800200c9a66</x:v>
      </x:c>
      <x:c r="C499" s="36" t="str">
        <x:v>Lead, consumption mix, at plant, primary</x:v>
      </x:c>
      <x:c r="D499" s="36" t="str">
        <x:v>DE</x:v>
      </x:c>
      <x:c r="E499" s="36" t="str">
        <x:v>ProcessType.LCI_RESULT</x:v>
      </x:c>
      <x:c r="F499" s="36" t="str"/>
      <x:c r="G499" s="36" t="str"/>
    </x:row>
    <x:row r="500">
      <x:c r="A500" s="36" t="str">
        <x:v>Electricity Mix, consumption mix, at consumer, AC, 220V | LT | fde3d025</x:v>
      </x:c>
      <x:c r="B500" s="36" t="str">
        <x:v>fde3d025-2889-4e04-a6ff-0dd9a6b79b80</x:v>
      </x:c>
      <x:c r="C500" s="36" t="str">
        <x:v>Electricity Mix, consumption mix, at consumer, AC, 220V</x:v>
      </x:c>
      <x:c r="D500" s="36" t="str">
        <x:v>LT</x:v>
      </x:c>
      <x:c r="E500" s="36" t="str">
        <x:v>ProcessType.LCI_RESULT</x:v>
      </x:c>
      <x:c r="F500" s="36" t="str"/>
      <x:c r="G500" s="36" t="str"/>
    </x:row>
    <x:row r="501">
      <x:c r="A501" s="36" t="str">
        <x:v>Electricity from wind power, production mix, at power plant, AC, &lt; 1kV | RER | fe1c3d03</x:v>
      </x:c>
      <x:c r="B501" s="36" t="str">
        <x:v>fe1c3d03-072b-4da7-8fff-3505f9b01efc</x:v>
      </x:c>
      <x:c r="C501" s="36" t="str">
        <x:v>Electricity from wind power, production mix, at power plant, AC, &lt; 1kV</x:v>
      </x:c>
      <x:c r="D501" s="36" t="str">
        <x:v>RER</x:v>
      </x:c>
      <x:c r="E501" s="36" t="str">
        <x:v>ProcessType.LCI_RESULT</x:v>
      </x:c>
      <x:c r="F501" s="36" t="str"/>
      <x:c r="G501" s="36" t="str"/>
    </x:row>
    <x:row r="502">
      <x:c r="A502" s="36" t="str">
        <x:v>Electricity grid mix, consumption mix, at consumer, AC, 230V | AT | fe2e54f4</x:v>
      </x:c>
      <x:c r="B502" s="36" t="str">
        <x:v>fe2e54f4-5200-410f-8b97-0ed5380183ed</x:v>
      </x:c>
      <x:c r="C502" s="36" t="str">
        <x:v>Electricity grid mix, consumption mix, at consumer, AC, 230V</x:v>
      </x:c>
      <x:c r="D502" s="36" t="str">
        <x:v>AT</x:v>
      </x:c>
      <x:c r="E502" s="36" t="str">
        <x:v>ProcessType.LCI_RESULT</x:v>
      </x:c>
      <x:c r="F502" s="36" t="str"/>
      <x:c r="G502" s="36" t="str"/>
    </x:row>
    <x:row r="503">
      <x:c r="A503" s="36" t="str">
        <x:v>Process steam from natural gas 90%, consumption mix, at power plant, heat plant, MJ, 90 % efficiency | EE | fe71f291</x:v>
      </x:c>
      <x:c r="B503" s="36" t="str">
        <x:v>fe71f291-65d4-4c66-875f-0c737ee264d2</x:v>
      </x:c>
      <x:c r="C503" s="36" t="str">
        <x:v>Process steam from natural gas 90%, consumption mix, at power plant, heat plant, MJ, 90 % efficiency</x:v>
      </x:c>
      <x:c r="D503" s="36" t="str">
        <x:v>EE</x:v>
      </x:c>
      <x:c r="E503" s="36" t="str">
        <x:v>ProcessType.LCI_RESULT</x:v>
      </x:c>
      <x:c r="F503" s="36" t="str"/>
      <x:c r="G503" s="36" t="str"/>
    </x:row>
    <x:row r="504">
      <x:c r="A504" s="36" t="str">
        <x:v>Electricity grid mix, consumption mix, at consumer, AC, 230V | NL | ff8e5c50</x:v>
      </x:c>
      <x:c r="B504" s="36" t="str">
        <x:v>ff8e5c50-00c8-443f-aba9-a4d106937e8a</x:v>
      </x:c>
      <x:c r="C504" s="36" t="str">
        <x:v>Electricity grid mix, consumption mix, at consumer, AC, 230V</x:v>
      </x:c>
      <x:c r="D504" s="36" t="str">
        <x:v>NL</x:v>
      </x:c>
      <x:c r="E504" s="36" t="str">
        <x:v>ProcessType.LCI_RESULT</x:v>
      </x:c>
      <x:c r="F504" s="36" t="str"/>
      <x:c r="G504" s="36" t="str"/>
    </x:row>
    <x:row r="505">
      <x:c r="A505" s="36" t="str">
        <x:v>Dummy_Overburden (deposited) | No location | 9f5c8e7c</x:v>
      </x:c>
      <x:c r="B505" s="36" t="str">
        <x:v>9f5c8e7c-7538-48bc-9bab-9f510f378ebd</x:v>
      </x:c>
      <x:c r="C505" s="36" t="str">
        <x:v>Dummy_Overburden (deposited)</x:v>
      </x:c>
      <x:c r="D505" s="36" t="str"/>
      <x:c r="E505" s="36" t="str">
        <x:v>ProcessType.UNIT_PROCESS</x:v>
      </x:c>
      <x:c r="F505" s="36" t="str"/>
      <x:c r="G505" s="36" t="str"/>
    </x:row>
    <x:row r="506">
      <x:c r="A506" s="36" t="str">
        <x:v>Dummy_Waste (unspecified) | No location | 4ae22ef2</x:v>
      </x:c>
      <x:c r="B506" s="36" t="str">
        <x:v>4ae22ef2-8606-4b1d-bf7c-56190a86d5ee</x:v>
      </x:c>
      <x:c r="C506" s="36" t="str">
        <x:v>Dummy_Waste (unspecified)</x:v>
      </x:c>
      <x:c r="D506" s="36" t="str"/>
      <x:c r="E506" s="36" t="str">
        <x:v>ProcessType.UNIT_PROCESS</x:v>
      </x:c>
      <x:c r="F506" s="36" t="str"/>
      <x:c r="G506" s="36" t="str"/>
    </x:row>
    <x:row r="507">
      <x:c r="A507" s="36" t="str">
        <x:v>Dummy_energy (recovered) | No location | 8537e26d</x:v>
      </x:c>
      <x:c r="B507" s="36" t="str">
        <x:v>8537e26d-d1b6-4416-879e-e5b38059fc26</x:v>
      </x:c>
      <x:c r="C507" s="36" t="str">
        <x:v>Dummy_energy (recovered)</x:v>
      </x:c>
      <x:c r="D507" s="36" t="str"/>
      <x:c r="E507" s="36" t="str">
        <x:v>ProcessType.UNIT_PROCESS</x:v>
      </x:c>
      <x:c r="F507" s="36" t="str"/>
      <x:c r="G507" s="36" t="str"/>
    </x:row>
    <x:row r="508">
      <x:c r="A508" s="36" t="str">
        <x:v>Dummy_electricity | No location | c8ac7514</x:v>
      </x:c>
      <x:c r="B508" s="36" t="str">
        <x:v>c8ac7514-9aa7-46cb-9dd7-0c33667f1f92</x:v>
      </x:c>
      <x:c r="C508" s="36" t="str">
        <x:v>Dummy_electricity</x:v>
      </x:c>
      <x:c r="D508" s="36" t="str"/>
      <x:c r="E508" s="36" t="str">
        <x:v>ProcessType.UNIT_PROCESS</x:v>
      </x:c>
      <x:c r="F508" s="36" t="str"/>
      <x:c r="G508" s="36" t="str"/>
    </x:row>
    <x:row r="509">
      <x:c r="A509" s="36" t="str">
        <x:v>Dummy_secondary fuel | No location | df59cb17</x:v>
      </x:c>
      <x:c r="B509" s="36" t="str">
        <x:v>df59cb17-abe4-4856-8355-630f4b002e8c</x:v>
      </x:c>
      <x:c r="C509" s="36" t="str">
        <x:v>Dummy_secondary fuel</x:v>
      </x:c>
      <x:c r="D509" s="36" t="str"/>
      <x:c r="E509" s="36" t="str">
        <x:v>ProcessType.UNIT_PROCESS</x:v>
      </x:c>
      <x:c r="F509" s="36" t="str"/>
      <x:c r="G509" s="36" t="str"/>
    </x:row>
    <x:row r="510">
      <x:c r="A510" s="36" t="str">
        <x:v>Dummy_secondary fuel renewable | No location | 4dca32df</x:v>
      </x:c>
      <x:c r="B510" s="36" t="str">
        <x:v>4dca32df-04e1-458d-b1a8-503c21b5178d</x:v>
      </x:c>
      <x:c r="C510" s="36" t="str">
        <x:v>Dummy_secondary fuel renewable</x:v>
      </x:c>
      <x:c r="D510" s="36" t="str"/>
      <x:c r="E510" s="36" t="str">
        <x:v>ProcessType.UNIT_PROCESS</x:v>
      </x:c>
      <x:c r="F510" s="36" t="str"/>
      <x:c r="G510" s="36" t="str"/>
    </x:row>
    <x:row r="511">
      <x:c r="A511" s="36" t="str">
        <x:v>Dummy_LPG - liquefied petroleum gas | No location | 263f85db</x:v>
      </x:c>
      <x:c r="B511" s="36" t="str">
        <x:v>263f85db-423d-4bdb-9e1c-f3854d96b131</x:v>
      </x:c>
      <x:c r="C511" s="36" t="str">
        <x:v>Dummy_LPG - liquefied petroleum gas</x:v>
      </x:c>
      <x:c r="D511" s="36" t="str"/>
      <x:c r="E511" s="36" t="str">
        <x:v>ProcessType.UNIT_PROCESS</x:v>
      </x:c>
      <x:c r="F511" s="36" t="str"/>
      <x:c r="G511" s="36" t="str"/>
    </x:row>
    <x:row r="512">
      <x:c r="A512" s="36" t="str">
        <x:v>Dummy_Hydrogen | No location | 047bd537</x:v>
      </x:c>
      <x:c r="B512" s="36" t="str">
        <x:v>047bd537-3e15-4490-aa5a-e7205b314a59</x:v>
      </x:c>
      <x:c r="C512" s="36" t="str">
        <x:v>Dummy_Hydrogen</x:v>
      </x:c>
      <x:c r="D512" s="36" t="str"/>
      <x:c r="E512" s="36" t="str">
        <x:v>ProcessType.UNIT_PROCESS</x:v>
      </x:c>
      <x:c r="F512" s="36" t="str"/>
      <x:c r="G512" s="36" t="str"/>
    </x:row>
    <x:row r="513">
      <x:c r="A513" s="36" t="str">
        <x:v>Dummy_Water for industrial use | No location | 15f60776</x:v>
      </x:c>
      <x:c r="B513" s="36" t="str">
        <x:v>15f60776-9f95-41df-805d-5f0ed0970ee9</x:v>
      </x:c>
      <x:c r="C513" s="36" t="str">
        <x:v>Dummy_Water for industrial use</x:v>
      </x:c>
      <x:c r="D513" s="36" t="str"/>
      <x:c r="E513" s="36" t="str">
        <x:v>ProcessType.UNIT_PROCESS</x:v>
      </x:c>
      <x:c r="F513" s="36" t="str"/>
      <x:c r="G513" s="36" t="str"/>
    </x:row>
    <x:row r="514">
      <x:c r="A514" s="36" t="str">
        <x:v>Dummy_Limestone | No location | a8b1d4b6</x:v>
      </x:c>
      <x:c r="B514" s="36" t="str">
        <x:v>a8b1d4b6-3104-455a-9584-ea54acf7addb</x:v>
      </x:c>
      <x:c r="C514" s="36" t="str">
        <x:v>Dummy_Limestone</x:v>
      </x:c>
      <x:c r="D514" s="36" t="str"/>
      <x:c r="E514" s="36" t="str">
        <x:v>ProcessType.UNIT_PROCESS</x:v>
      </x:c>
      <x:c r="F514" s="36" t="str"/>
      <x:c r="G514" s="36" t="str"/>
    </x:row>
    <x:row r="515">
      <x:c r="A515" s="36" t="str">
        <x:v>Dummy_Zinc dust | No location | 259d2af5</x:v>
      </x:c>
      <x:c r="B515" s="36" t="str">
        <x:v>259d2af5-933a-45b0-af1c-af9ab6218518</x:v>
      </x:c>
      <x:c r="C515" s="36" t="str">
        <x:v>Dummy_Zinc dust</x:v>
      </x:c>
      <x:c r="D515" s="36" t="str"/>
      <x:c r="E515" s="36" t="str">
        <x:v>ProcessType.UNIT_PROCESS</x:v>
      </x:c>
      <x:c r="F515" s="36" t="str"/>
      <x:c r="G515" s="36" t="str"/>
    </x:row>
    <x:row r="516">
      <x:c r="A516" s="36" t="str">
        <x:v>Dummy_Water (desalinated; deionized) | No location | 1cc3ad90</x:v>
      </x:c>
      <x:c r="B516" s="36" t="str">
        <x:v>1cc3ad90-1b4c-418d-9db7-bdd7bbe7f0b7</x:v>
      </x:c>
      <x:c r="C516" s="36" t="str">
        <x:v>Dummy_Water (desalinated; deionized)</x:v>
      </x:c>
      <x:c r="D516" s="36" t="str"/>
      <x:c r="E516" s="36" t="str">
        <x:v>ProcessType.UNIT_PROCESS</x:v>
      </x:c>
      <x:c r="F516" s="36" t="str"/>
      <x:c r="G516" s="36" t="str"/>
    </x:row>
    <x:row r="517">
      <x:c r="A517" s="36" t="str">
        <x:v>Dummy_gypsum suspension | No location | 75808bd7</x:v>
      </x:c>
      <x:c r="B517" s="36" t="str">
        <x:v>75808bd7-6aed-4201-8982-a525b4da9598</x:v>
      </x:c>
      <x:c r="C517" s="36" t="str">
        <x:v>Dummy_gypsum suspension</x:v>
      </x:c>
      <x:c r="D517" s="36" t="str"/>
      <x:c r="E517" s="36" t="str">
        <x:v>ProcessType.UNIT_PROCESS</x:v>
      </x:c>
      <x:c r="F517" s="36" t="str"/>
      <x:c r="G517" s="36" t="str"/>
    </x:row>
    <x:row r="518">
      <x:c r="A518" s="36" t="str">
        <x:v>Dummy_polyethylene low density foil(PE-LD) | No location | 4c26ea0c</x:v>
      </x:c>
      <x:c r="B518" s="36" t="str">
        <x:v>4c26ea0c-8a77-40a2-beb9-f6b5b1fd2858</x:v>
      </x:c>
      <x:c r="C518" s="36" t="str">
        <x:v>Dummy_polyethylene low density foil(PE-LD)</x:v>
      </x:c>
      <x:c r="D518" s="36" t="str"/>
      <x:c r="E518" s="36" t="str">
        <x:v>ProcessType.UNIT_PROCESS</x:v>
      </x:c>
      <x:c r="F518" s="36" t="str"/>
      <x:c r="G518" s="36" t="str"/>
    </x:row>
    <x:row r="519">
      <x:c r="A519" s="36" t="str">
        <x:v>Dummy_hydrated lime dry slaked | No location | 4d72123a</x:v>
      </x:c>
      <x:c r="B519" s="36" t="str">
        <x:v>4d72123a-abe1-469e-9f9a-c61ccdfa3328</x:v>
      </x:c>
      <x:c r="C519" s="36" t="str">
        <x:v>Dummy_hydrated lime dry slaked</x:v>
      </x:c>
      <x:c r="D519" s="36" t="str"/>
      <x:c r="E519" s="36" t="str">
        <x:v>ProcessType.UNIT_PROCESS</x:v>
      </x:c>
      <x:c r="F519" s="36" t="str"/>
      <x:c r="G519" s="36" t="str"/>
    </x:row>
    <x:row r="520">
      <x:c r="A520" s="36" t="str">
        <x:v>Dummy_iron chloride | No location | 4b830f91</x:v>
      </x:c>
      <x:c r="B520" s="36" t="str">
        <x:v>4b830f91-5ca8-4f5c-bd3a-45457f3d0ced</x:v>
      </x:c>
      <x:c r="C520" s="36" t="str">
        <x:v>Dummy_iron chloride</x:v>
      </x:c>
      <x:c r="D520" s="36" t="str"/>
      <x:c r="E520" s="36" t="str">
        <x:v>ProcessType.UNIT_PROCESS</x:v>
      </x:c>
      <x:c r="F520" s="36" t="str"/>
      <x:c r="G520" s="36" t="str"/>
    </x:row>
    <x:row r="521">
      <x:c r="A521" s="36" t="str">
        <x:v>Dummy_phosphoric acid | No location | afab6a69</x:v>
      </x:c>
      <x:c r="B521" s="36" t="str">
        <x:v>afab6a69-1c9d-4d29-a093-1fbbcc87ee34</x:v>
      </x:c>
      <x:c r="C521" s="36" t="str">
        <x:v>Dummy_phosphoric acid</x:v>
      </x:c>
      <x:c r="D521" s="36" t="str"/>
      <x:c r="E521" s="36" t="str">
        <x:v>ProcessType.UNIT_PROCESS</x:v>
      </x:c>
      <x:c r="F521" s="36" t="str"/>
      <x:c r="G521" s="36" t="str"/>
    </x:row>
    <x:row r="522">
      <x:c r="A522" s="36" t="str">
        <x:v>Dummy_zinc calcine | No location | ceafc8fd</x:v>
      </x:c>
      <x:c r="B522" s="36" t="str">
        <x:v>ceafc8fd-8234-4355-9525-1867f3a00347</x:v>
      </x:c>
      <x:c r="C522" s="36" t="str">
        <x:v>Dummy_zinc calcine</x:v>
      </x:c>
      <x:c r="D522" s="36" t="str"/>
      <x:c r="E522" s="36" t="str">
        <x:v>ProcessType.UNIT_PROCESS</x:v>
      </x:c>
      <x:c r="F522" s="36" t="str"/>
      <x:c r="G522" s="36" t="str"/>
    </x:row>
    <x:row r="523">
      <x:c r="A523" s="36" t="str">
        <x:v>Dummy_zinc dross | No location | 0d56c0df</x:v>
      </x:c>
      <x:c r="B523" s="36" t="str">
        <x:v>0d56c0df-4c73-437f-af20-6070c741d9ca</x:v>
      </x:c>
      <x:c r="C523" s="36" t="str">
        <x:v>Dummy_zinc dross</x:v>
      </x:c>
      <x:c r="D523" s="36" t="str"/>
      <x:c r="E523" s="36" t="str">
        <x:v>ProcessType.UNIT_PROCESS</x:v>
      </x:c>
      <x:c r="F523" s="36" t="str"/>
      <x:c r="G523" s="36" t="str"/>
    </x:row>
    <x:row r="524">
      <x:c r="A524" s="36" t="str">
        <x:v>Dummy_zinc oxide | No location | f77599a5</x:v>
      </x:c>
      <x:c r="B524" s="36" t="str">
        <x:v>f77599a5-c0e5-4dd4-9f0b-947f58527a06</x:v>
      </x:c>
      <x:c r="C524" s="36" t="str">
        <x:v>Dummy_zinc oxide</x:v>
      </x:c>
      <x:c r="D524" s="36" t="str"/>
      <x:c r="E524" s="36" t="str">
        <x:v>ProcessType.UNIT_PROCESS</x:v>
      </x:c>
      <x:c r="F524" s="36" t="str"/>
      <x:c r="G524" s="36" t="str"/>
    </x:row>
    <x:row r="525">
      <x:c r="A525" s="36" t="str">
        <x:v>Dummy_Waste paper | No location | d441d321</x:v>
      </x:c>
      <x:c r="B525" s="36" t="str">
        <x:v>d441d321-dc86-4669-99cb-1d7172f01f32</x:v>
      </x:c>
      <x:c r="C525" s="36" t="str">
        <x:v>Dummy_Waste paper</x:v>
      </x:c>
      <x:c r="D525" s="36" t="str"/>
      <x:c r="E525" s="36" t="str">
        <x:v>ProcessType.UNIT_PROCESS</x:v>
      </x:c>
      <x:c r="F525" s="36" t="str"/>
      <x:c r="G525" s="36" t="str"/>
    </x:row>
    <x:row r="526">
      <x:c r="A526" s="36" t="str">
        <x:v>Dummy_Iron scrap | No location | b2ad9bb8</x:v>
      </x:c>
      <x:c r="B526" s="36" t="str">
        <x:v>b2ad9bb8-1282-497b-8f65-44aedd4814da</x:v>
      </x:c>
      <x:c r="C526" s="36" t="str">
        <x:v>Dummy_Iron scrap</x:v>
      </x:c>
      <x:c r="D526" s="36" t="str"/>
      <x:c r="E526" s="36" t="str">
        <x:v>ProcessType.UNIT_PROCESS</x:v>
      </x:c>
      <x:c r="F526" s="36" t="str"/>
      <x:c r="G526" s="36" t="str"/>
    </x:row>
    <x:row r="527">
      <x:c r="A527" s="36" t="str">
        <x:v>Dummy_Steel scrap (St) | No location | 3184ae41</x:v>
      </x:c>
      <x:c r="B527" s="36" t="str">
        <x:v>3184ae41-4e62-429b-8b41-092c18155883</x:v>
      </x:c>
      <x:c r="C527" s="36" t="str">
        <x:v>Dummy_Steel scrap (St)</x:v>
      </x:c>
      <x:c r="D527" s="36" t="str"/>
      <x:c r="E527" s="36" t="str">
        <x:v>ProcessType.UNIT_PROCESS</x:v>
      </x:c>
      <x:c r="F527" s="36" t="str"/>
      <x:c r="G527" s="36" t="str"/>
    </x:row>
    <x:row r="528">
      <x:c r="A528" s="36" t="str">
        <x:v>Dummy_Steel scrap | No location | 8c9967ad</x:v>
      </x:c>
      <x:c r="B528" s="36" t="str">
        <x:v>8c9967ad-7a76-4d08-aa18-47717a812d47</x:v>
      </x:c>
      <x:c r="C528" s="36" t="str">
        <x:v>Dummy_Steel scrap</x:v>
      </x:c>
      <x:c r="D528" s="36" t="str"/>
      <x:c r="E528" s="36" t="str">
        <x:v>ProcessType.UNIT_PROCESS</x:v>
      </x:c>
      <x:c r="F528" s="36" t="str"/>
      <x:c r="G528" s="36" t="str"/>
    </x:row>
    <x:row r="529">
      <x:c r="A529" s="36" t="str">
        <x:v>Dummy_Flue dust | No location | 387e84b3</x:v>
      </x:c>
      <x:c r="B529" s="36" t="str">
        <x:v>387e84b3-c067-488e-abc8-5b7f2ca19678</x:v>
      </x:c>
      <x:c r="C529" s="36" t="str">
        <x:v>Dummy_Flue dust</x:v>
      </x:c>
      <x:c r="D529" s="36" t="str"/>
      <x:c r="E529" s="36" t="str">
        <x:v>ProcessType.UNIT_PROCESS</x:v>
      </x:c>
      <x:c r="F529" s="36" t="str"/>
      <x:c r="G529" s="36" t="str"/>
    </x:row>
    <x:row r="530">
      <x:c r="A530" s="36" t="str">
        <x:v>Dummy_Battery | No location | 52daf3bf</x:v>
      </x:c>
      <x:c r="B530" s="36" t="str">
        <x:v>52daf3bf-5c93-405f-97b6-d068e9b4b66d</x:v>
      </x:c>
      <x:c r="C530" s="36" t="str">
        <x:v>Dummy_Battery</x:v>
      </x:c>
      <x:c r="D530" s="36" t="str"/>
      <x:c r="E530" s="36" t="str">
        <x:v>ProcessType.UNIT_PROCESS</x:v>
      </x:c>
      <x:c r="F530" s="36" t="str"/>
      <x:c r="G530" s="36" t="str"/>
    </x:row>
    <x:row r="531">
      <x:c r="A531" s="36" t="str">
        <x:v>Dummy_Lead scrap | No location | 1a4b3c6f</x:v>
      </x:c>
      <x:c r="B531" s="36" t="str">
        <x:v>1a4b3c6f-cfd1-4fc5-ab94-8dcd731cbd5d</x:v>
      </x:c>
      <x:c r="C531" s="36" t="str">
        <x:v>Dummy_Lead scrap</x:v>
      </x:c>
      <x:c r="D531" s="36" t="str"/>
      <x:c r="E531" s="36" t="str">
        <x:v>ProcessType.UNIT_PROCESS</x:v>
      </x:c>
      <x:c r="F531" s="36" t="str"/>
      <x:c r="G531" s="36" t="str"/>
    </x:row>
    <x:row r="532">
      <x:c r="A532" s="36" t="str">
        <x:v>Dummy_Recycling goods | No location | b39db800</x:v>
      </x:c>
      <x:c r="B532" s="36" t="str">
        <x:v>b39db800-044e-44e9-817c-ac680af49201</x:v>
      </x:c>
      <x:c r="C532" s="36" t="str">
        <x:v>Dummy_Recycling goods</x:v>
      </x:c>
      <x:c r="D532" s="36" t="str"/>
      <x:c r="E532" s="36" t="str">
        <x:v>ProcessType.UNIT_PROCESS</x:v>
      </x:c>
      <x:c r="F532" s="36" t="str"/>
      <x:c r="G532" s="36" t="str"/>
    </x:row>
    <x:row r="533">
      <x:c r="A533" s="36" t="str">
        <x:v>Dummy_Glass for recovery (shards) | No location | daf91a8c</x:v>
      </x:c>
      <x:c r="B533" s="36" t="str">
        <x:v>daf91a8c-a1d5-49d2-8d22-fb3d37f4e405</x:v>
      </x:c>
      <x:c r="C533" s="36" t="str">
        <x:v>Dummy_Glass for recovery (shards)</x:v>
      </x:c>
      <x:c r="D533" s="36" t="str"/>
      <x:c r="E533" s="36" t="str">
        <x:v>ProcessType.UNIT_PROCESS</x:v>
      </x:c>
      <x:c r="F533" s="36" t="str"/>
      <x:c r="G533" s="36" t="str"/>
    </x:row>
    <x:row r="534">
      <x:c r="A534" s="36" t="str">
        <x:v>Dummy_printing ink | No location | 52876382</x:v>
      </x:c>
      <x:c r="B534" s="36" t="str">
        <x:v>52876382-a8a8-4713-9fdd-ef936f471be9</x:v>
      </x:c>
      <x:c r="C534" s="36" t="str">
        <x:v>Dummy_printing ink</x:v>
      </x:c>
      <x:c r="D534" s="36" t="str"/>
      <x:c r="E534" s="36" t="str">
        <x:v>ProcessType.UNIT_PROCESS</x:v>
      </x:c>
      <x:c r="F534" s="36" t="str"/>
      <x:c r="G534" s="36" t="str"/>
    </x:row>
    <x:row r="535">
      <x:c r="A535" s="36" t="str">
        <x:v>Dummy_spoil (unspecified) | No location | 720abee8</x:v>
      </x:c>
      <x:c r="B535" s="36" t="str">
        <x:v>720abee8-5fa0-4bbc-8b72-e5089d24a28d</x:v>
      </x:c>
      <x:c r="C535" s="36" t="str">
        <x:v>Dummy_spoil (unspecified)</x:v>
      </x:c>
      <x:c r="D535" s="36" t="str"/>
      <x:c r="E535" s="36" t="str">
        <x:v>ProcessType.UNIT_PROCESS</x:v>
      </x:c>
      <x:c r="F535" s="36" t="str"/>
      <x:c r="G535" s="36" t="str"/>
    </x:row>
    <x:row r="536">
      <x:c r="A536" s="36" t="str">
        <x:v>Dummy_carcass meal | No location | c14ac0b9</x:v>
      </x:c>
      <x:c r="B536" s="36" t="str">
        <x:v>c14ac0b9-e0fc-4ff3-9c49-35f174b7eaef</x:v>
      </x:c>
      <x:c r="C536" s="36" t="str">
        <x:v>Dummy_carcass meal</x:v>
      </x:c>
      <x:c r="D536" s="36" t="str"/>
      <x:c r="E536" s="36" t="str">
        <x:v>ProcessType.UNIT_PROCESS</x:v>
      </x:c>
      <x:c r="F536" s="36" t="str"/>
      <x:c r="G536" s="36" t="str"/>
    </x:row>
    <x:row r="537">
      <x:c r="A537" s="36" t="str">
        <x:v>Dummy_municipal waste (unspecified) | No location | 50272452</x:v>
      </x:c>
      <x:c r="B537" s="36" t="str">
        <x:v>50272452-d869-4aad-b19d-56a53f58f94c</x:v>
      </x:c>
      <x:c r="C537" s="36" t="str">
        <x:v>Dummy_municipal waste (unspecified)</x:v>
      </x:c>
      <x:c r="D537" s="36" t="str"/>
      <x:c r="E537" s="36" t="str">
        <x:v>ProcessType.UNIT_PROCESS</x:v>
      </x:c>
      <x:c r="F537" s="36" t="str"/>
      <x:c r="G537" s="36" t="str"/>
    </x:row>
    <x:row r="538">
      <x:c r="A538" s="36" t="str">
        <x:v>Dummy_waste paper (unspecified) | No location | 954cd85c</x:v>
      </x:c>
      <x:c r="B538" s="36" t="str">
        <x:v>954cd85c-6d3f-4f68-ba4a-25e3c0173585</x:v>
      </x:c>
      <x:c r="C538" s="36" t="str">
        <x:v>Dummy_waste paper (unspecified)</x:v>
      </x:c>
      <x:c r="D538" s="36" t="str"/>
      <x:c r="E538" s="36" t="str">
        <x:v>ProcessType.UNIT_PROCESS</x:v>
      </x:c>
      <x:c r="F538" s="36" t="str"/>
      <x:c r="G538" s="36" t="str"/>
    </x:row>
    <x:row r="539">
      <x:c r="A539" s="36" t="str">
        <x:v>Dummy_cullet float glass | No location | f56c88c6</x:v>
      </x:c>
      <x:c r="B539" s="36" t="str">
        <x:v>f56c88c6-5e1b-4331-9754-3f4216b72a7f</x:v>
      </x:c>
      <x:c r="C539" s="36" t="str">
        <x:v>Dummy_cullet float glass</x:v>
      </x:c>
      <x:c r="D539" s="36" t="str"/>
      <x:c r="E539" s="36" t="str">
        <x:v>ProcessType.UNIT_PROCESS</x:v>
      </x:c>
      <x:c r="F539" s="36" t="str"/>
      <x:c r="G539" s="36" t="str"/>
    </x:row>
    <x:row r="540">
      <x:c r="A540" s="36" t="str">
        <x:v>Dummy_zinc scrap | No location | 5d4914ee</x:v>
      </x:c>
      <x:c r="B540" s="36" t="str">
        <x:v>5d4914ee-b4cc-4272-9563-1acfad96dcfe</x:v>
      </x:c>
      <x:c r="C540" s="36" t="str">
        <x:v>Dummy_zinc scrap</x:v>
      </x:c>
      <x:c r="D540" s="36" t="str"/>
      <x:c r="E540" s="36" t="str">
        <x:v>ProcessType.UNIT_PROCESS</x:v>
      </x:c>
      <x:c r="F540" s="36" t="str"/>
      <x:c r="G540" s="36" t="str"/>
    </x:row>
    <x:row r="541">
      <x:c r="A541" s="36" t="str">
        <x:v>Dummy_Secondary fuel | No location | 8c5f99c1</x:v>
      </x:c>
      <x:c r="B541" s="36" t="str">
        <x:v>8c5f99c1-be61-41c9-8c0c-c307f944805e</x:v>
      </x:c>
      <x:c r="C541" s="36" t="str">
        <x:v>Dummy_Secondary fuel</x:v>
      </x:c>
      <x:c r="D541" s="36" t="str"/>
      <x:c r="E541" s="36" t="str">
        <x:v>ProcessType.UNIT_PROCESS</x:v>
      </x:c>
      <x:c r="F541" s="36" t="str"/>
      <x:c r="G541" s="36" t="str"/>
    </x:row>
    <x:row r="542">
      <x:c r="A542" s="36" t="str">
        <x:v>Dummy_Secondary fuel renewable | No location | 96c3f68b</x:v>
      </x:c>
      <x:c r="B542" s="36" t="str">
        <x:v>96c3f68b-5ce0-4985-bdfd-7c82fcbb8c4c</x:v>
      </x:c>
      <x:c r="C542" s="36" t="str">
        <x:v>Dummy_Secondary fuel renewable</x:v>
      </x:c>
      <x:c r="D542" s="36" t="str"/>
      <x:c r="E542" s="36" t="str">
        <x:v>ProcessType.UNIT_PROCESS</x:v>
      </x:c>
      <x:c r="F542" s="36" t="str"/>
      <x:c r="G542" s="36" t="str"/>
    </x:row>
    <x:row r="543">
      <x:c r="A543" s="36" t="str">
        <x:v>Dummy_cargo | No location | 01d0b4aa</x:v>
      </x:c>
      <x:c r="B543" s="36" t="str">
        <x:v>01d0b4aa-19c4-41c2-a5f0-e1b1364680b6</x:v>
      </x:c>
      <x:c r="C543" s="36" t="str">
        <x:v>Dummy_cargo</x:v>
      </x:c>
      <x:c r="D543" s="36" t="str"/>
      <x:c r="E543" s="36" t="str">
        <x:v>ProcessType.UNIT_PROCESS</x:v>
      </x:c>
      <x:c r="F543" s="36" t="str"/>
      <x:c r="G543" s="36" t="str"/>
    </x:row>
    <x:row r="544">
      <x:c r="A544" s="36" t="str">
        <x:v>Dummy_excavated material | No location | 89d4c62c</x:v>
      </x:c>
      <x:c r="B544" s="36" t="str">
        <x:v>89d4c62c-a6d1-4e33-bedb-7d411baade08</x:v>
      </x:c>
      <x:c r="C544" s="36" t="str">
        <x:v>Dummy_excavated material</x:v>
      </x:c>
      <x:c r="D544" s="36" t="str"/>
      <x:c r="E544" s="36" t="str">
        <x:v>ProcessType.UNIT_PROCESS</x:v>
      </x:c>
      <x:c r="F544" s="36" t="str"/>
      <x:c r="G544" s="36" t="str"/>
    </x:row>
    <x:row r="545">
      <x:c r="A545" s="36" t="str">
        <x:v>Dummy_CaF2 (low radioactice) | No location | 6c85de2d</x:v>
      </x:c>
      <x:c r="B545" s="36" t="str">
        <x:v>6c85de2d-81b5-4cf0-b175-ad502e19a677</x:v>
      </x:c>
      <x:c r="C545" s="36" t="str">
        <x:v>Dummy_CaF2 (low radioactice)</x:v>
      </x:c>
      <x:c r="D545" s="36" t="str"/>
      <x:c r="E545" s="36" t="str">
        <x:v>ProcessType.UNIT_PROCESS</x:v>
      </x:c>
      <x:c r="F545" s="36" t="str"/>
      <x:c r="G545" s="36" t="str"/>
    </x:row>
    <x:row r="546">
      <x:c r="A546" s="36" t="str">
        <x:v>Dummy_Highly radioactive waste | No location | 99fc0b99</x:v>
      </x:c>
      <x:c r="B546" s="36" t="str">
        <x:v>99fc0b99-4a0b-4eb3-8dc9-810c797b7680</x:v>
      </x:c>
      <x:c r="C546" s="36" t="str">
        <x:v>Dummy_Highly radioactive waste</x:v>
      </x:c>
      <x:c r="D546" s="36" t="str"/>
      <x:c r="E546" s="36" t="str">
        <x:v>ProcessType.UNIT_PROCESS</x:v>
      </x:c>
      <x:c r="F546" s="36" t="str"/>
      <x:c r="G546" s="36" t="str"/>
    </x:row>
    <x:row r="547">
      <x:c r="A547" s="36" t="str">
        <x:v>Dummy_Medium and low radioactive wastes | No location | 9bc56be3</x:v>
      </x:c>
      <x:c r="B547" s="36" t="str">
        <x:v>9bc56be3-5cdb-411d-b974-1af6edc81f5f</x:v>
      </x:c>
      <x:c r="C547" s="36" t="str">
        <x:v>Dummy_Medium and low radioactive wastes</x:v>
      </x:c>
      <x:c r="D547" s="36" t="str"/>
      <x:c r="E547" s="36" t="str">
        <x:v>ProcessType.UNIT_PROCESS</x:v>
      </x:c>
      <x:c r="F547" s="36" t="str"/>
      <x:c r="G547" s="36" t="str"/>
    </x:row>
    <x:row r="548">
      <x:c r="A548" s="36" t="str">
        <x:v>Dummy_Plutonium as residual product | No location | 4aceee05</x:v>
      </x:c>
      <x:c r="B548" s="36" t="str">
        <x:v>4aceee05-641c-44aa-b68d-0d5111682e9b</x:v>
      </x:c>
      <x:c r="C548" s="36" t="str">
        <x:v>Dummy_Plutonium as residual product</x:v>
      </x:c>
      <x:c r="D548" s="36" t="str"/>
      <x:c r="E548" s="36" t="str">
        <x:v>ProcessType.UNIT_PROCESS</x:v>
      </x:c>
      <x:c r="F548" s="36" t="str"/>
      <x:c r="G548" s="36" t="str"/>
    </x:row>
    <x:row r="549">
      <x:c r="A549" s="36" t="str">
        <x:v>Dummy_Radioactive tailings | No location | 133a9673</x:v>
      </x:c>
      <x:c r="B549" s="36" t="str">
        <x:v>133a9673-7b84-4bee-b2ed-e06335849dbd</x:v>
      </x:c>
      <x:c r="C549" s="36" t="str">
        <x:v>Dummy_Radioactive tailings</x:v>
      </x:c>
      <x:c r="D549" s="36" t="str"/>
      <x:c r="E549" s="36" t="str">
        <x:v>ProcessType.UNIT_PROCESS</x:v>
      </x:c>
      <x:c r="F549" s="36" t="str"/>
      <x:c r="G549" s="36" t="str"/>
    </x:row>
    <x:row r="550">
      <x:c r="A550" s="36" t="str">
        <x:v>Dummy_Slag (Uranium conversion) | No location | b399ff61</x:v>
      </x:c>
      <x:c r="B550" s="36" t="str">
        <x:v>b399ff61-1557-4fdf-aec3-e495ffe328c5</x:v>
      </x:c>
      <x:c r="C550" s="36" t="str">
        <x:v>Dummy_Slag (Uranium conversion)</x:v>
      </x:c>
      <x:c r="D550" s="36" t="str"/>
      <x:c r="E550" s="36" t="str">
        <x:v>ProcessType.UNIT_PROCESS</x:v>
      </x:c>
      <x:c r="F550" s="36" t="str"/>
      <x:c r="G550" s="36" t="str"/>
    </x:row>
    <x:row r="551">
      <x:c r="A551" s="36" t="str">
        <x:v>Dummy_Waste radioactive | No location | 462bc8d1</x:v>
      </x:c>
      <x:c r="B551" s="36" t="str">
        <x:v>462bc8d1-d54c-48a1-83ac-fab1610ca182</x:v>
      </x:c>
      <x:c r="C551" s="36" t="str">
        <x:v>Dummy_Waste radioactive</x:v>
      </x:c>
      <x:c r="D551" s="36" t="str"/>
      <x:c r="E551" s="36" t="str">
        <x:v>ProcessType.UNIT_PROCESS</x:v>
      </x:c>
      <x:c r="F551" s="36" t="str"/>
      <x:c r="G551" s="36" t="str"/>
    </x:row>
    <x:row r="552">
      <x:c r="A552" s="36" t="str">
        <x:v>Dummy_Uranium depleted | No location | 74067b4d</x:v>
      </x:c>
      <x:c r="B552" s="36" t="str">
        <x:v>74067b4d-04a9-4be7-b7d6-2addf58491e6</x:v>
      </x:c>
      <x:c r="C552" s="36" t="str">
        <x:v>Dummy_Uranium depleted</x:v>
      </x:c>
      <x:c r="D552" s="36" t="str"/>
      <x:c r="E552" s="36" t="str">
        <x:v>ProcessType.UNIT_PROCESS</x:v>
      </x:c>
      <x:c r="F552" s="36" t="str"/>
      <x:c r="G552" s="36" t="str"/>
    </x:row>
    <x:row r="553">
      <x:c r="A553" s="36" t="str">
        <x:v>Dummy_Low radioactive wastes | No location | ca59164f</x:v>
      </x:c>
      <x:c r="B553" s="36" t="str">
        <x:v>ca59164f-9a48-48e1-8602-cf20751173e5</x:v>
      </x:c>
      <x:c r="C553" s="36" t="str">
        <x:v>Dummy_Low radioactive wastes</x:v>
      </x:c>
      <x:c r="D553" s="36" t="str"/>
      <x:c r="E553" s="36" t="str">
        <x:v>ProcessType.UNIT_PROCESS</x:v>
      </x:c>
      <x:c r="F553" s="36" t="str"/>
      <x:c r="G553" s="36" t="str"/>
    </x:row>
    <x:row r="554">
      <x:c r="A554" s="36" t="str">
        <x:v>Dummy_Tailings | No location | 4720fb55</x:v>
      </x:c>
      <x:c r="B554" s="36" t="str">
        <x:v>4720fb55-63c4-4b5f-a806-5784628c41af</x:v>
      </x:c>
      <x:c r="C554" s="36" t="str">
        <x:v>Dummy_Tailings</x:v>
      </x:c>
      <x:c r="D554" s="36" t="str"/>
      <x:c r="E554" s="36" t="str">
        <x:v>ProcessType.UNIT_PROCESS</x:v>
      </x:c>
      <x:c r="F554" s="36" t="str"/>
      <x:c r="G554" s="36" t="str"/>
    </x:row>
    <x:row r="555">
      <x:c r="A555" s="36" t="str">
        <x:v>Dummy_Chemicals (unspecified) | No location | c4b74d4f</x:v>
      </x:c>
      <x:c r="B555" s="36" t="str">
        <x:v>c4b74d4f-09b4-44e2-b023-d58df3bfa277</x:v>
      </x:c>
      <x:c r="C555" s="36" t="str">
        <x:v>Dummy_Chemicals (unspecified)</x:v>
      </x:c>
      <x:c r="D555" s="36" t="str"/>
      <x:c r="E555" s="36" t="str">
        <x:v>ProcessType.UNIT_PROCESS</x:v>
      </x:c>
      <x:c r="F555" s="36" t="str"/>
      <x:c r="G555" s="36" t="str"/>
    </x:row>
    <x:row r="556">
      <x:c r="A556" s="36" t="str">
        <x:v>Dummy_Mineral waste | No location | 130605cf</x:v>
      </x:c>
      <x:c r="B556" s="36" t="str">
        <x:v>130605cf-52f6-4d73-a4ff-f8ee0fac9730</x:v>
      </x:c>
      <x:c r="C556" s="36" t="str">
        <x:v>Dummy_Mineral waste</x:v>
      </x:c>
      <x:c r="D556" s="36" t="str"/>
      <x:c r="E556" s="36" t="str">
        <x:v>ProcessType.UNIT_PROCESS</x:v>
      </x:c>
      <x:c r="F556" s="36" t="str"/>
      <x:c r="G556" s="36" t="str"/>
    </x:row>
    <x:row r="557">
      <x:c r="A557" s="36" t="str">
        <x:v>Dummy_Plastic (unspecified) | No location | 67509a1c</x:v>
      </x:c>
      <x:c r="B557" s="36" t="str">
        <x:v>67509a1c-9093-4d94-9e25-5cf4ef45f06e</x:v>
      </x:c>
      <x:c r="C557" s="36" t="str">
        <x:v>Dummy_Plastic (unspecified)</x:v>
      </x:c>
      <x:c r="D557" s="36" t="str"/>
      <x:c r="E557" s="36" t="str">
        <x:v>ProcessType.UNIT_PROCESS</x:v>
      </x:c>
      <x:c r="F557" s="36" t="str"/>
      <x:c r="G557" s="36" t="str"/>
    </x:row>
    <x:row r="558">
      <x:c r="A558" s="36" t="str">
        <x:v>Dummy_Wood | No location | eafc1196</x:v>
      </x:c>
      <x:c r="B558" s="36" t="str">
        <x:v>eafc1196-6888-4f82-aa7c-6012ba1b2fe4</x:v>
      </x:c>
      <x:c r="C558" s="36" t="str">
        <x:v>Dummy_Wood</x:v>
      </x:c>
      <x:c r="D558" s="36" t="str"/>
      <x:c r="E558" s="36" t="str">
        <x:v>ProcessType.UNIT_PROCESS</x:v>
      </x:c>
      <x:c r="F558" s="36" t="str"/>
      <x:c r="G558" s="36" t="str"/>
    </x:row>
    <x:row r="559">
      <x:c r="A559" s="36" t="str">
        <x:v>Dummy_Wooden pallet (EURO) | No location | 9cdee12d</x:v>
      </x:c>
      <x:c r="B559" s="36" t="str">
        <x:v>9cdee12d-29bf-4621-87d9-52ebbef06070</x:v>
      </x:c>
      <x:c r="C559" s="36" t="str">
        <x:v>Dummy_Wooden pallet (EURO)</x:v>
      </x:c>
      <x:c r="D559" s="36" t="str"/>
      <x:c r="E559" s="36" t="str">
        <x:v>ProcessType.UNIT_PROCESS</x:v>
      </x:c>
      <x:c r="F559" s="36" t="str"/>
      <x:c r="G559" s="36" t="str"/>
    </x:row>
    <x:row r="560">
      <x:c r="A560" s="36" t="str">
        <x:v>Dummy_unspecified radioactive waste | No location | a7840e27</x:v>
      </x:c>
      <x:c r="B560" s="36" t="str">
        <x:v>a7840e27-7e1e-4777-b1f2-584a44047300</x:v>
      </x:c>
      <x:c r="C560" s="36" t="str">
        <x:v>Dummy_unspecified radioactive waste</x:v>
      </x:c>
      <x:c r="D560" s="36" t="str"/>
      <x:c r="E560" s="36" t="str">
        <x:v>ProcessType.UNIT_PROCESS</x:v>
      </x:c>
      <x:c r="F560" s="36" t="str"/>
      <x:c r="G560" s="36" t="str"/>
    </x:row>
    <x:row r="561">
      <x:c r="A561" s="36" t="str">
        <x:v>Dummy_Aluminum oxide (alumina) | No location | 660ef88c</x:v>
      </x:c>
      <x:c r="B561" s="36" t="str">
        <x:v>660ef88c-5dbe-4cb3-9c25-c4ba145c9638</x:v>
      </x:c>
      <x:c r="C561" s="36" t="str">
        <x:v>Dummy_Aluminum oxide (alumina)</x:v>
      </x:c>
      <x:c r="D561" s="36" t="str"/>
      <x:c r="E561" s="36" t="str">
        <x:v>ProcessType.UNIT_PROCESS</x:v>
      </x:c>
      <x:c r="F561" s="36" t="str"/>
      <x:c r="G561" s="36" t="str"/>
    </x:row>
    <x:row r="562">
      <x:c r="A562" s="36" t="str">
        <x:v>Dummy_BF Slag | No location | 4bdb4ecf</x:v>
      </x:c>
      <x:c r="B562" s="36" t="str">
        <x:v>4bdb4ecf-a7ec-4b56-b0c2-4bced6002292</x:v>
      </x:c>
      <x:c r="C562" s="36" t="str">
        <x:v>Dummy_BF Slag</x:v>
      </x:c>
      <x:c r="D562" s="36" t="str"/>
      <x:c r="E562" s="36" t="str">
        <x:v>ProcessType.UNIT_PROCESS</x:v>
      </x:c>
      <x:c r="F562" s="36" t="str"/>
      <x:c r="G562" s="36" t="str"/>
    </x:row>
    <x:row r="563">
      <x:c r="A563" s="36" t="str">
        <x:v>Dummy_BOF Gas Dust | No location | bd28ae84</x:v>
      </x:c>
      <x:c r="B563" s="36" t="str">
        <x:v>bd28ae84-0b57-4e5b-9cd8-52e95d855b7a</x:v>
      </x:c>
      <x:c r="C563" s="36" t="str">
        <x:v>Dummy_BOF Gas Dust</x:v>
      </x:c>
      <x:c r="D563" s="36" t="str"/>
      <x:c r="E563" s="36" t="str">
        <x:v>ProcessType.UNIT_PROCESS</x:v>
      </x:c>
      <x:c r="F563" s="36" t="str"/>
      <x:c r="G563" s="36" t="str"/>
    </x:row>
    <x:row r="564">
      <x:c r="A564" s="36" t="str">
        <x:v>Dummy_BOF Slag | No location | c43244e0</x:v>
      </x:c>
      <x:c r="B564" s="36" t="str">
        <x:v>c43244e0-5526-4209-b35a-afe13ede2078</x:v>
      </x:c>
      <x:c r="C564" s="36" t="str">
        <x:v>Dummy_BOF Slag</x:v>
      </x:c>
      <x:c r="D564" s="36" t="str"/>
      <x:c r="E564" s="36" t="str">
        <x:v>ProcessType.UNIT_PROCESS</x:v>
      </x:c>
      <x:c r="F564" s="36" t="str"/>
      <x:c r="G564" s="36" t="str"/>
    </x:row>
    <x:row r="565">
      <x:c r="A565" s="36" t="str">
        <x:v>Dummy_BOF Slag | No location | 5a0906d2</x:v>
      </x:c>
      <x:c r="B565" s="36" t="str">
        <x:v>5a0906d2-2e33-4033-b3de-8a16b4b3a64e</x:v>
      </x:c>
      <x:c r="C565" s="36" t="str">
        <x:v>Dummy_BOF Slag</x:v>
      </x:c>
      <x:c r="D565" s="36" t="str"/>
      <x:c r="E565" s="36" t="str">
        <x:v>ProcessType.UNIT_PROCESS</x:v>
      </x:c>
      <x:c r="F565" s="36" t="str"/>
      <x:c r="G565" s="36" t="str"/>
    </x:row>
    <x:row r="566">
      <x:c r="A566" s="36" t="str">
        <x:v>Dummy_Cooling water | No location | e0bfe0d2</x:v>
      </x:c>
      <x:c r="B566" s="36" t="str">
        <x:v>e0bfe0d2-e3cc-487d-9f0d-6720b8ff5416</x:v>
      </x:c>
      <x:c r="C566" s="36" t="str">
        <x:v>Dummy_Cooling water</x:v>
      </x:c>
      <x:c r="D566" s="36" t="str"/>
      <x:c r="E566" s="36" t="str">
        <x:v>ProcessType.UNIT_PROCESS</x:v>
      </x:c>
      <x:c r="F566" s="36" t="str"/>
      <x:c r="G566" s="36" t="str"/>
    </x:row>
    <x:row r="567">
      <x:c r="A567" s="36" t="str">
        <x:v>Dummy_Cryolite | No location | f7af9367</x:v>
      </x:c>
      <x:c r="B567" s="36" t="str">
        <x:v>f7af9367-da6e-4e8c-8759-ab14c7670b6d</x:v>
      </x:c>
      <x:c r="C567" s="36" t="str">
        <x:v>Dummy_Cryolite</x:v>
      </x:c>
      <x:c r="D567" s="36" t="str"/>
      <x:c r="E567" s="36" t="str">
        <x:v>ProcessType.UNIT_PROCESS</x:v>
      </x:c>
      <x:c r="F567" s="36" t="str"/>
      <x:c r="G567" s="36" t="str"/>
    </x:row>
    <x:row r="568">
      <x:c r="A568" s="36" t="str">
        <x:v>Dummy_Gypsum | No location | b620ba10</x:v>
      </x:c>
      <x:c r="B568" s="36" t="str">
        <x:v>b620ba10-1366-49de-a9c4-23704912512d</x:v>
      </x:c>
      <x:c r="C568" s="36" t="str">
        <x:v>Dummy_Gypsum</x:v>
      </x:c>
      <x:c r="D568" s="36" t="str"/>
      <x:c r="E568" s="36" t="str">
        <x:v>ProcessType.UNIT_PROCESS</x:v>
      </x:c>
      <x:c r="F568" s="36" t="str"/>
      <x:c r="G568" s="36" t="str"/>
    </x:row>
    <x:row r="569">
      <x:c r="A569" s="36" t="str">
        <x:v>Dummy_Gypsum (FDI) | No location | 71d3e44a</x:v>
      </x:c>
      <x:c r="B569" s="36" t="str">
        <x:v>71d3e44a-f139-4fa7-bed4-b5a83cccba71</x:v>
      </x:c>
      <x:c r="C569" s="36" t="str">
        <x:v>Dummy_Gypsum (FDI)</x:v>
      </x:c>
      <x:c r="D569" s="36" t="str"/>
      <x:c r="E569" s="36" t="str">
        <x:v>ProcessType.UNIT_PROCESS</x:v>
      </x:c>
      <x:c r="F569" s="36" t="str"/>
      <x:c r="G569" s="36" t="str"/>
    </x:row>
    <x:row r="570">
      <x:c r="A570" s="36" t="str">
        <x:v>Dummy_Hazardous non organic waste for disposal (unspecific) | No location | 35f2ee05</x:v>
      </x:c>
      <x:c r="B570" s="36" t="str">
        <x:v>35f2ee05-8e77-4e17-af4b-2949312421d7</x:v>
      </x:c>
      <x:c r="C570" s="36" t="str">
        <x:v>Dummy_Hazardous non organic waste for disposal (unspecific)</x:v>
      </x:c>
      <x:c r="D570" s="36" t="str"/>
      <x:c r="E570" s="36" t="str">
        <x:v>ProcessType.UNIT_PROCESS</x:v>
      </x:c>
      <x:c r="F570" s="36" t="str"/>
      <x:c r="G570" s="36" t="str"/>
    </x:row>
    <x:row r="571">
      <x:c r="A571" s="36" t="str">
        <x:v>Dummy_Hazardous organic waste for disposal (unspecific) | No location | 819dfe46</x:v>
      </x:c>
      <x:c r="B571" s="36" t="str">
        <x:v>819dfe46-f5e4-4e53-99eb-2a953261e0dc</x:v>
      </x:c>
      <x:c r="C571" s="36" t="str">
        <x:v>Dummy_Hazardous organic waste for disposal (unspecific)</x:v>
      </x:c>
      <x:c r="D571" s="36" t="str"/>
      <x:c r="E571" s="36" t="str">
        <x:v>ProcessType.UNIT_PROCESS</x:v>
      </x:c>
      <x:c r="F571" s="36" t="str"/>
      <x:c r="G571" s="36" t="str"/>
    </x:row>
    <x:row r="572">
      <x:c r="A572" s="36" t="str">
        <x:v>Dummy_Hazardous waste (unspec.) | No location | bec982c2</x:v>
      </x:c>
      <x:c r="B572" s="36" t="str">
        <x:v>bec982c2-d105-4365-b78e-6abaca678f3f</x:v>
      </x:c>
      <x:c r="C572" s="36" t="str">
        <x:v>Dummy_Hazardous waste (unspec.)</x:v>
      </x:c>
      <x:c r="D572" s="36" t="str"/>
      <x:c r="E572" s="36" t="str">
        <x:v>ProcessType.UNIT_PROCESS</x:v>
      </x:c>
      <x:c r="F572" s="36" t="str"/>
      <x:c r="G572" s="36" t="str"/>
    </x:row>
    <x:row r="573">
      <x:c r="A573" s="36" t="str">
        <x:v>Dummy_Neutralized residues | No location | 23e778c8</x:v>
      </x:c>
      <x:c r="B573" s="36" t="str">
        <x:v>23e778c8-e205-4478-8c4a-377cefebf66c</x:v>
      </x:c>
      <x:c r="C573" s="36" t="str">
        <x:v>Dummy_Neutralized residues</x:v>
      </x:c>
      <x:c r="D573" s="36" t="str"/>
      <x:c r="E573" s="36" t="str">
        <x:v>ProcessType.UNIT_PROCESS</x:v>
      </x:c>
      <x:c r="F573" s="36" t="str"/>
      <x:c r="G573" s="36" t="str"/>
    </x:row>
    <x:row r="574">
      <x:c r="A574" s="36" t="str">
        <x:v>Dummy_Non Hazardous non organic waste for disposal (unspecific sludges and dusts) | No location | 7d1f26c0</x:v>
      </x:c>
      <x:c r="B574" s="36" t="str">
        <x:v>7d1f26c0-9df8-41cf-a136-203f0503d217</x:v>
      </x:c>
      <x:c r="C574" s="36" t="str">
        <x:v>Dummy_Non Hazardous non organic waste for disposal (unspecific sludges and dusts)</x:v>
      </x:c>
      <x:c r="D574" s="36" t="str"/>
      <x:c r="E574" s="36" t="str">
        <x:v>ProcessType.UNIT_PROCESS</x:v>
      </x:c>
      <x:c r="F574" s="36" t="str"/>
      <x:c r="G574" s="36" t="str"/>
    </x:row>
    <x:row r="575">
      <x:c r="A575" s="36" t="str">
        <x:v>Dummy_Production residues (unspecified) | No location | a79bb190</x:v>
      </x:c>
      <x:c r="B575" s="36" t="str">
        <x:v>a79bb190-a276-4485-a2b0-23f03b04b9b2</x:v>
      </x:c>
      <x:c r="C575" s="36" t="str">
        <x:v>Dummy_Production residues (unspecified)</x:v>
      </x:c>
      <x:c r="D575" s="36" t="str"/>
      <x:c r="E575" s="36" t="str">
        <x:v>ProcessType.UNIT_PROCESS</x:v>
      </x:c>
      <x:c r="F575" s="36" t="str"/>
      <x:c r="G575" s="36" t="str"/>
    </x:row>
    <x:row r="576">
      <x:c r="A576" s="36" t="str">
        <x:v>Dummy_Rolling gravel | No location | d30793ee</x:v>
      </x:c>
      <x:c r="B576" s="36" t="str">
        <x:v>d30793ee-3dbd-4312-ac7a-de9b375e00f8</x:v>
      </x:c>
      <x:c r="C576" s="36" t="str">
        <x:v>Dummy_Rolling gravel</x:v>
      </x:c>
      <x:c r="D576" s="36" t="str"/>
      <x:c r="E576" s="36" t="str">
        <x:v>ProcessType.UNIT_PROCESS</x:v>
      </x:c>
      <x:c r="F576" s="36" t="str"/>
      <x:c r="G576" s="36" t="str"/>
    </x:row>
    <x:row r="577">
      <x:c r="A577" s="36" t="str">
        <x:v>Dummy_Rolling tinder | No location | 415c6421</x:v>
      </x:c>
      <x:c r="B577" s="36" t="str">
        <x:v>415c6421-f1b4-4f01-bf02-559cc8349213</x:v>
      </x:c>
      <x:c r="C577" s="36" t="str">
        <x:v>Dummy_Rolling tinder</x:v>
      </x:c>
      <x:c r="D577" s="36" t="str"/>
      <x:c r="E577" s="36" t="str">
        <x:v>ProcessType.UNIT_PROCESS</x:v>
      </x:c>
      <x:c r="F577" s="36" t="str"/>
      <x:c r="G577" s="36" t="str"/>
    </x:row>
    <x:row r="578">
      <x:c r="A578" s="36" t="str">
        <x:v>Dummy_Secondary Steel Making Slag | No location | e54614fb</x:v>
      </x:c>
      <x:c r="B578" s="36" t="str">
        <x:v>e54614fb-c9a6-4c1a-b80d-d91917fc8b95</x:v>
      </x:c>
      <x:c r="C578" s="36" t="str">
        <x:v>Dummy_Secondary Steel Making Slag</x:v>
      </x:c>
      <x:c r="D578" s="36" t="str"/>
      <x:c r="E578" s="36" t="str">
        <x:v>ProcessType.UNIT_PROCESS</x:v>
      </x:c>
      <x:c r="F578" s="36" t="str"/>
      <x:c r="G578" s="36" t="str"/>
    </x:row>
    <x:row r="579">
      <x:c r="A579" s="36" t="str">
        <x:v>Dummy_Sinter / Pellet Dust | No location | 4118a448</x:v>
      </x:c>
      <x:c r="B579" s="36" t="str">
        <x:v>4118a448-7096-4796-aec6-f37c0117e2ef</x:v>
      </x:c>
      <x:c r="C579" s="36" t="str">
        <x:v>Dummy_Sinter / Pellet Dust</x:v>
      </x:c>
      <x:c r="D579" s="36" t="str"/>
      <x:c r="E579" s="36" t="str">
        <x:v>ProcessType.UNIT_PROCESS</x:v>
      </x:c>
      <x:c r="F579" s="36" t="str"/>
      <x:c r="G579" s="36" t="str"/>
    </x:row>
    <x:row r="580">
      <x:c r="A580" s="36" t="str">
        <x:v>Dummy_Slag | No location | a823108d</x:v>
      </x:c>
      <x:c r="B580" s="36" t="str">
        <x:v>a823108d-3615-43e0-b804-d59fd7dec5a6</x:v>
      </x:c>
      <x:c r="C580" s="36" t="str">
        <x:v>Dummy_Slag</x:v>
      </x:c>
      <x:c r="D580" s="36" t="str"/>
      <x:c r="E580" s="36" t="str">
        <x:v>ProcessType.UNIT_PROCESS</x:v>
      </x:c>
      <x:c r="F580" s="36" t="str"/>
      <x:c r="G580" s="36" t="str"/>
    </x:row>
    <x:row r="581">
      <x:c r="A581" s="36" t="str">
        <x:v>Dummy_Slag (containing precious metal) | No location | 34c1d961</x:v>
      </x:c>
      <x:c r="B581" s="36" t="str">
        <x:v>34c1d961-b141-41f8-aca8-ba8aed9a72bb</x:v>
      </x:c>
      <x:c r="C581" s="36" t="str">
        <x:v>Dummy_Slag (containing precious metal)</x:v>
      </x:c>
      <x:c r="D581" s="36" t="str"/>
      <x:c r="E581" s="36" t="str">
        <x:v>ProcessType.UNIT_PROCESS</x:v>
      </x:c>
      <x:c r="F581" s="36" t="str"/>
      <x:c r="G581" s="36" t="str"/>
    </x:row>
    <x:row r="582">
      <x:c r="A582" s="36" t="str">
        <x:v>Dummy_Slag (containing V) | No location | cbd9d698</x:v>
      </x:c>
      <x:c r="B582" s="36" t="str">
        <x:v>cbd9d698-7eea-407e-82a6-b3bcf36c5659</x:v>
      </x:c>
      <x:c r="C582" s="36" t="str">
        <x:v>Dummy_Slag (containing V)</x:v>
      </x:c>
      <x:c r="D582" s="36" t="str"/>
      <x:c r="E582" s="36" t="str">
        <x:v>ProcessType.UNIT_PROCESS</x:v>
      </x:c>
      <x:c r="F582" s="36" t="str"/>
      <x:c r="G582" s="36" t="str"/>
    </x:row>
    <x:row r="583">
      <x:c r="A583" s="36" t="str">
        <x:v>Dummy_Slag (Iron plate production) | No location | 86d52f3e</x:v>
      </x:c>
      <x:c r="B583" s="36" t="str">
        <x:v>86d52f3e-2408-4ee2-b14b-0dbb289ea4fa</x:v>
      </x:c>
      <x:c r="C583" s="36" t="str">
        <x:v>Dummy_Slag (Iron plate production)</x:v>
      </x:c>
      <x:c r="D583" s="36" t="str"/>
      <x:c r="E583" s="36" t="str">
        <x:v>ProcessType.UNIT_PROCESS</x:v>
      </x:c>
      <x:c r="F583" s="36" t="str"/>
      <x:c r="G583" s="36" t="str"/>
    </x:row>
    <x:row r="584">
      <x:c r="A584" s="36" t="str">
        <x:v>Dummy_Slag (Mn 6,5%) | No location | 438aa6bc</x:v>
      </x:c>
      <x:c r="B584" s="36" t="str">
        <x:v>438aa6bc-6b26-4b59-942b-7e9c94c1ef01</x:v>
      </x:c>
      <x:c r="C584" s="36" t="str">
        <x:v>Dummy_Slag (Mn 6,5%)</x:v>
      </x:c>
      <x:c r="D584" s="36" t="str"/>
      <x:c r="E584" s="36" t="str">
        <x:v>ProcessType.UNIT_PROCESS</x:v>
      </x:c>
      <x:c r="F584" s="36" t="str"/>
      <x:c r="G584" s="36" t="str"/>
    </x:row>
    <x:row r="585">
      <x:c r="A585" s="36" t="str">
        <x:v>Dummy_Sludge | No location | 6cd2cbe2</x:v>
      </x:c>
      <x:c r="B585" s="36" t="str">
        <x:v>6cd2cbe2-6958-4bfc-8e78-bae40efd345b</x:v>
      </x:c>
      <x:c r="C585" s="36" t="str">
        <x:v>Dummy_Sludge</x:v>
      </x:c>
      <x:c r="D585" s="36" t="str"/>
      <x:c r="E585" s="36" t="str">
        <x:v>ProcessType.UNIT_PROCESS</x:v>
      </x:c>
      <x:c r="F585" s="36" t="str"/>
      <x:c r="G585" s="36" t="str"/>
    </x:row>
    <x:row r="586">
      <x:c r="A586" s="36" t="str">
        <x:v>Dummy_Sludge (from processing) | No location | 75d94e95</x:v>
      </x:c>
      <x:c r="B586" s="36" t="str">
        <x:v>75d94e95-45d4-4f16-adbe-2443ad9ae49e</x:v>
      </x:c>
      <x:c r="C586" s="36" t="str">
        <x:v>Dummy_Sludge (from processing)</x:v>
      </x:c>
      <x:c r="D586" s="36" t="str"/>
      <x:c r="E586" s="36" t="str">
        <x:v>ProcessType.UNIT_PROCESS</x:v>
      </x:c>
      <x:c r="F586" s="36" t="str"/>
      <x:c r="G586" s="36" t="str"/>
    </x:row>
    <x:row r="587">
      <x:c r="A587" s="36" t="str">
        <x:v>Dummy_Waste for recovery (unspecific) | No location | 88267d7f</x:v>
      </x:c>
      <x:c r="B587" s="36" t="str">
        <x:v>88267d7f-23eb-4f11-97ed-4aeb680c3b3d</x:v>
      </x:c>
      <x:c r="C587" s="36" t="str">
        <x:v>Dummy_Waste for recovery (unspecific)</x:v>
      </x:c>
      <x:c r="D587" s="36" t="str"/>
      <x:c r="E587" s="36" t="str">
        <x:v>ProcessType.UNIT_PROCESS</x:v>
      </x:c>
      <x:c r="F587" s="36" t="str"/>
      <x:c r="G587" s="36" t="str"/>
    </x:row>
    <x:row r="588">
      <x:c r="A588" s="36" t="str">
        <x:v>Dummy_Gypsum (contaminated) | No location | 26c61d04</x:v>
      </x:c>
      <x:c r="B588" s="36" t="str">
        <x:v>26c61d04-0795-4167-a751-5038102dbcc8</x:v>
      </x:c>
      <x:c r="C588" s="36" t="str">
        <x:v>Dummy_Gypsum (contaminated)</x:v>
      </x:c>
      <x:c r="D588" s="36" t="str"/>
      <x:c r="E588" s="36" t="str">
        <x:v>ProcessType.UNIT_PROCESS</x:v>
      </x:c>
      <x:c r="F588" s="36" t="str"/>
      <x:c r="G588" s="36" t="str"/>
    </x:row>
    <x:row r="589">
      <x:c r="A589" s="36" t="str">
        <x:v>Dummy_Slag (containing Pb) | No location | def90a49</x:v>
      </x:c>
      <x:c r="B589" s="36" t="str">
        <x:v>def90a49-6077-44e9-a786-2bd931d54caf</x:v>
      </x:c>
      <x:c r="C589" s="36" t="str">
        <x:v>Dummy_Slag (containing Pb)</x:v>
      </x:c>
      <x:c r="D589" s="36" t="str"/>
      <x:c r="E589" s="36" t="str">
        <x:v>ProcessType.UNIT_PROCESS</x:v>
      </x:c>
      <x:c r="F589" s="36" t="str"/>
      <x:c r="G589" s="36" t="str"/>
    </x:row>
    <x:row r="590">
      <x:c r="A590" s="36" t="str">
        <x:v>Dummy_Sulphuric acid | No location | 377fc7f4</x:v>
      </x:c>
      <x:c r="B590" s="36" t="str">
        <x:v>377fc7f4-9fab-4bda-b274-a5a080f49715</x:v>
      </x:c>
      <x:c r="C590" s="36" t="str">
        <x:v>Dummy_Sulphuric acid</x:v>
      </x:c>
      <x:c r="D590" s="36" t="str"/>
      <x:c r="E590" s="36" t="str">
        <x:v>ProcessType.UNIT_PROCESS</x:v>
      </x:c>
      <x:c r="F590" s="36" t="str"/>
      <x:c r="G590" s="36" t="str"/>
    </x:row>
    <x:row r="591">
      <x:c r="A591" s="36" t="str">
        <x:v>Dummy_Slag (unspecified) | No location | 3bc78351</x:v>
      </x:c>
      <x:c r="B591" s="36" t="str">
        <x:v>3bc78351-1a79-4bf6-93dd-cf27c1d928ac</x:v>
      </x:c>
      <x:c r="C591" s="36" t="str">
        <x:v>Dummy_Slag (unspecified)</x:v>
      </x:c>
      <x:c r="D591" s="36" t="str"/>
      <x:c r="E591" s="36" t="str">
        <x:v>ProcessType.UNIT_PROCESS</x:v>
      </x:c>
      <x:c r="F591" s="36" t="str"/>
      <x:c r="G591" s="36" t="str"/>
    </x:row>
    <x:row r="592">
      <x:c r="A592" s="36" t="str">
        <x:v>Dummy_Hazardous waste (underground deposit) | No location | 685b7733</x:v>
      </x:c>
      <x:c r="B592" s="36" t="str">
        <x:v>685b7733-5809-45c5-80d0-9f98762eaa1e</x:v>
      </x:c>
      <x:c r="C592" s="36" t="str">
        <x:v>Dummy_Hazardous waste (underground deposit)</x:v>
      </x:c>
      <x:c r="D592" s="36" t="str"/>
      <x:c r="E592" s="36" t="str">
        <x:v>ProcessType.UNIT_PROCESS</x:v>
      </x:c>
      <x:c r="F592" s="36" t="str"/>
      <x:c r="G592" s="36" t="str"/>
    </x:row>
    <x:row r="593">
      <x:c r="A593" s="36" t="str">
        <x:v>Dummy_Aluminum scrap | No location | 963722c3</x:v>
      </x:c>
      <x:c r="B593" s="36" t="str">
        <x:v>963722c3-b6e3-4af3-b0dd-c77e6154c9e3</x:v>
      </x:c>
      <x:c r="C593" s="36" t="str">
        <x:v>Dummy_Aluminum scrap</x:v>
      </x:c>
      <x:c r="D593" s="36" t="str"/>
      <x:c r="E593" s="36" t="str">
        <x:v>ProcessType.UNIT_PROCESS</x:v>
      </x:c>
      <x:c r="F593" s="36" t="str"/>
      <x:c r="G593" s="36" t="str"/>
    </x:row>
    <x:row r="594">
      <x:c r="A594" s="36" t="str">
        <x:v>Dummy_BF Gas Sludge | No location | d116d72a</x:v>
      </x:c>
      <x:c r="B594" s="36" t="str">
        <x:v>d116d72a-4d1b-49da-895d-da0b70b905b2</x:v>
      </x:c>
      <x:c r="C594" s="36" t="str">
        <x:v>Dummy_BF Gas Sludge</x:v>
      </x:c>
      <x:c r="D594" s="36" t="str"/>
      <x:c r="E594" s="36" t="str">
        <x:v>ProcessType.UNIT_PROCESS</x:v>
      </x:c>
      <x:c r="F594" s="36" t="str"/>
      <x:c r="G594" s="36" t="str"/>
    </x:row>
    <x:row r="595">
      <x:c r="A595" s="36" t="str">
        <x:v>Dummy_BF Shop Dust | No location | c8379a7d</x:v>
      </x:c>
      <x:c r="B595" s="36" t="str">
        <x:v>c8379a7d-9f71-4e93-aedb-a4e33ed9d997</x:v>
      </x:c>
      <x:c r="C595" s="36" t="str">
        <x:v>Dummy_BF Shop Dust</x:v>
      </x:c>
      <x:c r="D595" s="36" t="str"/>
      <x:c r="E595" s="36" t="str">
        <x:v>ProcessType.UNIT_PROCESS</x:v>
      </x:c>
      <x:c r="F595" s="36" t="str"/>
      <x:c r="G595" s="36" t="str"/>
    </x:row>
    <x:row r="596">
      <x:c r="A596" s="36" t="str">
        <x:v>Dummy_Chromium Solution | No location | 05d5a99d</x:v>
      </x:c>
      <x:c r="B596" s="36" t="str">
        <x:v>05d5a99d-c213-4f7c-a7d3-97a0c8999220</x:v>
      </x:c>
      <x:c r="C596" s="36" t="str">
        <x:v>Dummy_Chromium Solution</x:v>
      </x:c>
      <x:c r="D596" s="36" t="str"/>
      <x:c r="E596" s="36" t="str">
        <x:v>ProcessType.UNIT_PROCESS</x:v>
      </x:c>
      <x:c r="F596" s="36" t="str"/>
      <x:c r="G596" s="36" t="str"/>
    </x:row>
    <x:row r="597">
      <x:c r="A597" s="36" t="str">
        <x:v>Dummy_Cold rolling emulsion treatment sludge | No location | 26f37a60</x:v>
      </x:c>
      <x:c r="B597" s="36" t="str">
        <x:v>26f37a60-d20e-467a-a6ce-0c4ec5dfc6ab</x:v>
      </x:c>
      <x:c r="C597" s="36" t="str">
        <x:v>Dummy_Cold rolling emulsion treatment sludge</x:v>
      </x:c>
      <x:c r="D597" s="36" t="str"/>
      <x:c r="E597" s="36" t="str">
        <x:v>ProcessType.UNIT_PROCESS</x:v>
      </x:c>
      <x:c r="F597" s="36" t="str"/>
      <x:c r="G597" s="36" t="str"/>
    </x:row>
    <x:row r="598">
      <x:c r="A598" s="36" t="str">
        <x:v>Dummy_Cold Rolling Sludge | No location | 2f2475b4</x:v>
      </x:c>
      <x:c r="B598" s="36" t="str">
        <x:v>2f2475b4-5d27-43cf-83fc-0998b857701a</x:v>
      </x:c>
      <x:c r="C598" s="36" t="str">
        <x:v>Dummy_Cold Rolling Sludge</x:v>
      </x:c>
      <x:c r="D598" s="36" t="str"/>
      <x:c r="E598" s="36" t="str">
        <x:v>ProcessType.UNIT_PROCESS</x:v>
      </x:c>
      <x:c r="F598" s="36" t="str"/>
      <x:c r="G598" s="36" t="str"/>
    </x:row>
    <x:row r="599">
      <x:c r="A599" s="36" t="str">
        <x:v>Dummy_Continuous Casting Sludge | No location | 65ce2c8e</x:v>
      </x:c>
      <x:c r="B599" s="36" t="str">
        <x:v>65ce2c8e-4dcc-4f43-9612-86a5eb5893f6</x:v>
      </x:c>
      <x:c r="C599" s="36" t="str">
        <x:v>Dummy_Continuous Casting Sludge</x:v>
      </x:c>
      <x:c r="D599" s="36" t="str"/>
      <x:c r="E599" s="36" t="str">
        <x:v>ProcessType.UNIT_PROCESS</x:v>
      </x:c>
      <x:c r="F599" s="36" t="str"/>
      <x:c r="G599" s="36" t="str"/>
    </x:row>
    <x:row r="600">
      <x:c r="A600" s="36" t="str">
        <x:v>Dummy_Hot Rolling Sludge | No location | 566f864d</x:v>
      </x:c>
      <x:c r="B600" s="36" t="str">
        <x:v>566f864d-9194-4c39-8f06-bfb6184f7d1c</x:v>
      </x:c>
      <x:c r="C600" s="36" t="str">
        <x:v>Dummy_Hot Rolling Sludge</x:v>
      </x:c>
      <x:c r="D600" s="36" t="str"/>
      <x:c r="E600" s="36" t="str">
        <x:v>ProcessType.UNIT_PROCESS</x:v>
      </x:c>
      <x:c r="F600" s="36" t="str"/>
      <x:c r="G600" s="36" t="str"/>
    </x:row>
    <x:row r="601">
      <x:c r="A601" s="36" t="str">
        <x:v>Dummy_Pickled hot rolled coil sludge | No location | 1d1fe91b</x:v>
      </x:c>
      <x:c r="B601" s="36" t="str">
        <x:v>1d1fe91b-75cf-4ef3-9532-0d5d31640a10</x:v>
      </x:c>
      <x:c r="C601" s="36" t="str">
        <x:v>Dummy_Pickled hot rolled coil sludge</x:v>
      </x:c>
      <x:c r="D601" s="36" t="str"/>
      <x:c r="E601" s="36" t="str">
        <x:v>ProcessType.UNIT_PROCESS</x:v>
      </x:c>
      <x:c r="F601" s="36" t="str"/>
      <x:c r="G601" s="36" t="str"/>
    </x:row>
    <x:row r="602">
      <x:c r="A602" s="36" t="str">
        <x:v>Dummy_Slag | No location | dd708a4f</x:v>
      </x:c>
      <x:c r="B602" s="36" t="str">
        <x:v>dd708a4f-c231-4152-839c-b571fe204ed9</x:v>
      </x:c>
      <x:c r="C602" s="36" t="str">
        <x:v>Dummy_Slag</x:v>
      </x:c>
      <x:c r="D602" s="36" t="str"/>
      <x:c r="E602" s="36" t="str">
        <x:v>ProcessType.UNIT_PROCESS</x:v>
      </x:c>
      <x:c r="F602" s="36" t="str"/>
      <x:c r="G602" s="36" t="str"/>
    </x:row>
    <x:row r="603">
      <x:c r="A603" s="36" t="str">
        <x:v>Dummy_Scoria | No location | 10bbadfc</x:v>
      </x:c>
      <x:c r="B603" s="36" t="str">
        <x:v>10bbadfc-7d10-4b5f-af6e-72ee57c48780</x:v>
      </x:c>
      <x:c r="C603" s="36" t="str">
        <x:v>Dummy_Scoria</x:v>
      </x:c>
      <x:c r="D603" s="36" t="str"/>
      <x:c r="E603" s="36" t="str">
        <x:v>ProcessType.UNIT_PROCESS</x:v>
      </x:c>
      <x:c r="F603" s="36" t="str"/>
      <x:c r="G603" s="36" t="str"/>
    </x:row>
    <x:row r="604">
      <x:c r="A604" s="36" t="str">
        <x:v>Dummy_Medium and low radioactive liquid waste | No location | a5a931f5</x:v>
      </x:c>
      <x:c r="B604" s="36" t="str">
        <x:v>a5a931f5-3050-4a0a-b063-86849862abeb</x:v>
      </x:c>
      <x:c r="C604" s="36" t="str">
        <x:v>Dummy_Medium and low radioactive liquid waste</x:v>
      </x:c>
      <x:c r="D604" s="36" t="str"/>
      <x:c r="E604" s="36" t="str">
        <x:v>ProcessType.UNIT_PROCESS</x:v>
      </x:c>
      <x:c r="F604" s="36" t="str"/>
      <x:c r="G604" s="36" t="str"/>
    </x:row>
    <x:row r="605">
      <x:c r="A605" s="36" t="str">
        <x:v>Dummy_Waste (solid) | No location | 2b7783cd</x:v>
      </x:c>
      <x:c r="B605" s="36" t="str">
        <x:v>2b7783cd-3128-4d57-9a04-42f94e89e4bf</x:v>
      </x:c>
      <x:c r="C605" s="36" t="str">
        <x:v>Dummy_Waste (solid)</x:v>
      </x:c>
      <x:c r="D605" s="36" t="str"/>
      <x:c r="E605" s="36" t="str">
        <x:v>ProcessType.UNIT_PROCESS</x:v>
      </x:c>
      <x:c r="F605" s="36" t="str"/>
      <x:c r="G605" s="36" t="str"/>
    </x:row>
    <x:row r="606">
      <x:c r="A606" s="36" t="str">
        <x:v>Dummy_Steel scrap (external supply) | No location | 34f2d06e</x:v>
      </x:c>
      <x:c r="B606" s="36" t="str">
        <x:v>34f2d06e-8bfe-4af0-bf23-3e01c73bb7b1</x:v>
      </x:c>
      <x:c r="C606" s="36" t="str">
        <x:v>Dummy_Steel scrap (external supply)</x:v>
      </x:c>
      <x:c r="D606" s="36" t="str"/>
      <x:c r="E606" s="36" t="str">
        <x:v>ProcessType.UNIT_PROCESS</x:v>
      </x:c>
      <x:c r="F606" s="36" t="str"/>
      <x:c r="G606" s="36" t="str"/>
    </x:row>
    <x:row r="607">
      <x:c r="A607" s="36" t="str">
        <x:v>Dummy_EAF Dust | No location | 168babaf</x:v>
      </x:c>
      <x:c r="B607" s="36" t="str">
        <x:v>168babaf-191e-4872-b2ff-d62dc39fff62</x:v>
      </x:c>
      <x:c r="C607" s="36" t="str">
        <x:v>Dummy_EAF Dust</x:v>
      </x:c>
      <x:c r="D607" s="36" t="str"/>
      <x:c r="E607" s="36" t="str">
        <x:v>ProcessType.UNIT_PROCESS</x:v>
      </x:c>
      <x:c r="F607" s="36" t="str"/>
      <x:c r="G607" s="36" t="str"/>
    </x:row>
    <x:row r="608">
      <x:c r="A608" s="36" t="str">
        <x:v>Dummy_Refractory | No location | 00904c02</x:v>
      </x:c>
      <x:c r="B608" s="36" t="str">
        <x:v>00904c02-6e6c-4fe9-a0dd-93fd05dbc018</x:v>
      </x:c>
      <x:c r="C608" s="36" t="str">
        <x:v>Dummy_Refractory</x:v>
      </x:c>
      <x:c r="D608" s="36" t="str"/>
      <x:c r="E608" s="36" t="str">
        <x:v>ProcessType.UNIT_PROCESS</x:v>
      </x:c>
      <x:c r="F608" s="36" t="str"/>
      <x:c r="G608" s="36" t="str"/>
    </x:row>
    <x:row r="609">
      <x:c r="A609" s="36" t="str">
        <x:v>Dummy_Refractory | No location | e0cb4d39</x:v>
      </x:c>
      <x:c r="B609" s="36" t="str">
        <x:v>e0cb4d39-d74d-4f6f-8b82-80ebbe6dea67</x:v>
      </x:c>
      <x:c r="C609" s="36" t="str">
        <x:v>Dummy_Refractory</x:v>
      </x:c>
      <x:c r="D609" s="36" t="str"/>
      <x:c r="E609" s="36" t="str">
        <x:v>ProcessType.UNIT_PROCESS</x:v>
      </x:c>
      <x:c r="F609" s="36" t="str"/>
      <x:c r="G609" s="36" t="str"/>
    </x:row>
  </x:sheetData>
  <x:pageMargins left="0.7" right="0.7" top="0.75" bottom="0.75" header="0.3" footer="0.3"/>
  <x:tableParts count="1">
    <x:tablePart xmlns:r="http://schemas.openxmlformats.org/officeDocument/2006/relationships" r:id="R807cc157ec4b4b79"/>
  </x:tableParts>
</x:worksheet>
</file>