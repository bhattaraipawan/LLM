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awan\Downloads\"/>
    </mc:Choice>
  </mc:AlternateContent>
  <xr:revisionPtr revIDLastSave="0" documentId="13_ncr:1_{AC04E59A-BB48-4AFD-A65A-638766FE887F}" xr6:coauthVersionLast="47" xr6:coauthVersionMax="47" xr10:uidLastSave="{00000000-0000-0000-0000-000000000000}"/>
  <bookViews>
    <workbookView xWindow="-108" yWindow="-108" windowWidth="23256" windowHeight="12456" activeTab="5" xr2:uid="{00000000-000D-0000-FFFF-FFFF00000000}"/>
  </bookViews>
  <sheets>
    <sheet name="Instructions" sheetId="1" r:id="rId1"/>
    <sheet name="Expert_A" sheetId="2" r:id="rId2"/>
    <sheet name="Expert_B" sheetId="3" r:id="rId3"/>
    <sheet name="Reconciliation" sheetId="4" r:id="rId4"/>
    <sheet name="ELCD_Catalog" sheetId="5" r:id="rId5"/>
    <sheet name="QC_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6" l="1"/>
  <c r="H47" i="6"/>
  <c r="C47" i="6"/>
  <c r="B47" i="6"/>
  <c r="A47" i="6"/>
  <c r="K46" i="6"/>
  <c r="J46" i="6"/>
  <c r="I46" i="6"/>
  <c r="B46" i="6"/>
  <c r="A46" i="6"/>
  <c r="E45" i="6"/>
  <c r="B45" i="6"/>
  <c r="A45" i="6"/>
  <c r="I44" i="6"/>
  <c r="B44" i="6"/>
  <c r="A44" i="6"/>
  <c r="J43" i="6"/>
  <c r="I43" i="6"/>
  <c r="B43" i="6"/>
  <c r="A43" i="6"/>
  <c r="K42" i="6"/>
  <c r="L42" i="6" s="1"/>
  <c r="J42" i="6"/>
  <c r="I42" i="6"/>
  <c r="H42" i="6"/>
  <c r="B42" i="6"/>
  <c r="A42" i="6"/>
  <c r="B41" i="6"/>
  <c r="A41" i="6"/>
  <c r="D40" i="6"/>
  <c r="B40" i="6"/>
  <c r="A40" i="6"/>
  <c r="E39" i="6"/>
  <c r="D39" i="6"/>
  <c r="C39" i="6"/>
  <c r="B39" i="6"/>
  <c r="A39" i="6"/>
  <c r="K38" i="6"/>
  <c r="J38" i="6"/>
  <c r="I38" i="6"/>
  <c r="B38" i="6"/>
  <c r="A38" i="6"/>
  <c r="J37" i="6"/>
  <c r="I37" i="6"/>
  <c r="E37" i="6"/>
  <c r="B37" i="6"/>
  <c r="A37" i="6"/>
  <c r="I36" i="6"/>
  <c r="H36" i="6"/>
  <c r="C36" i="6"/>
  <c r="B36" i="6"/>
  <c r="A36" i="6"/>
  <c r="I35" i="6"/>
  <c r="B35" i="6"/>
  <c r="A35" i="6"/>
  <c r="B34" i="6"/>
  <c r="A34" i="6"/>
  <c r="H33" i="6"/>
  <c r="B33" i="6"/>
  <c r="A33" i="6"/>
  <c r="K32" i="6"/>
  <c r="J32" i="6"/>
  <c r="I32" i="6"/>
  <c r="H32" i="6"/>
  <c r="L32" i="6" s="1"/>
  <c r="E32" i="6"/>
  <c r="D32" i="6"/>
  <c r="C32" i="6"/>
  <c r="B32" i="6"/>
  <c r="A32" i="6"/>
  <c r="I31" i="6"/>
  <c r="E31" i="6"/>
  <c r="D31" i="6"/>
  <c r="C31" i="6"/>
  <c r="B31" i="6"/>
  <c r="A31" i="6"/>
  <c r="J30" i="6"/>
  <c r="I30" i="6"/>
  <c r="B30" i="6"/>
  <c r="A30" i="6"/>
  <c r="K29" i="6"/>
  <c r="J29" i="6"/>
  <c r="I29" i="6"/>
  <c r="E29" i="6"/>
  <c r="B29" i="6"/>
  <c r="A29" i="6"/>
  <c r="E28" i="6"/>
  <c r="D28" i="6"/>
  <c r="C28" i="6"/>
  <c r="B28" i="6"/>
  <c r="A28" i="6"/>
  <c r="B27" i="6"/>
  <c r="A27" i="6"/>
  <c r="I26" i="6"/>
  <c r="B26" i="6"/>
  <c r="A26" i="6"/>
  <c r="H25" i="6"/>
  <c r="E25" i="6"/>
  <c r="B25" i="6"/>
  <c r="A25" i="6"/>
  <c r="I24" i="6"/>
  <c r="C24" i="6"/>
  <c r="B24" i="6"/>
  <c r="A24" i="6"/>
  <c r="I23" i="6"/>
  <c r="C23" i="6"/>
  <c r="B23" i="6"/>
  <c r="A23" i="6"/>
  <c r="J22" i="6"/>
  <c r="I22" i="6"/>
  <c r="C22" i="6"/>
  <c r="B22" i="6"/>
  <c r="A22" i="6"/>
  <c r="I21" i="6"/>
  <c r="H21" i="6"/>
  <c r="E21" i="6"/>
  <c r="B21" i="6"/>
  <c r="A21" i="6"/>
  <c r="E20" i="6"/>
  <c r="D20" i="6"/>
  <c r="C20" i="6"/>
  <c r="B20" i="6"/>
  <c r="A20" i="6"/>
  <c r="C19" i="6"/>
  <c r="B19" i="6"/>
  <c r="A19" i="6"/>
  <c r="J18" i="6"/>
  <c r="I18" i="6"/>
  <c r="H18" i="6"/>
  <c r="B18" i="6"/>
  <c r="A18" i="6"/>
  <c r="H17" i="6"/>
  <c r="E17" i="6"/>
  <c r="B17" i="6"/>
  <c r="A17" i="6"/>
  <c r="B16" i="6"/>
  <c r="A16" i="6"/>
  <c r="B15" i="6"/>
  <c r="A15" i="6"/>
  <c r="I14" i="6"/>
  <c r="B14" i="6"/>
  <c r="A14" i="6"/>
  <c r="H13" i="6"/>
  <c r="E13" i="6"/>
  <c r="B13" i="6"/>
  <c r="A13" i="6"/>
  <c r="L41" i="4"/>
  <c r="J47" i="6" s="1"/>
  <c r="H41" i="4"/>
  <c r="G41" i="4"/>
  <c r="D47" i="6" s="1"/>
  <c r="F41" i="4"/>
  <c r="E41" i="4"/>
  <c r="D41" i="4"/>
  <c r="C41" i="4"/>
  <c r="M40" i="4"/>
  <c r="L40" i="4"/>
  <c r="H40" i="4"/>
  <c r="G40" i="4"/>
  <c r="F40" i="4"/>
  <c r="E40" i="4"/>
  <c r="E46" i="6" s="1"/>
  <c r="D40" i="4"/>
  <c r="D46" i="6" s="1"/>
  <c r="C40" i="4"/>
  <c r="H39" i="4"/>
  <c r="G39" i="4"/>
  <c r="F39" i="4"/>
  <c r="E39" i="4"/>
  <c r="D39" i="4"/>
  <c r="D45" i="6" s="1"/>
  <c r="C39" i="4"/>
  <c r="C45" i="6" s="1"/>
  <c r="M38" i="4"/>
  <c r="K44" i="6" s="1"/>
  <c r="L38" i="4"/>
  <c r="J44" i="6" s="1"/>
  <c r="H38" i="4"/>
  <c r="E44" i="6" s="1"/>
  <c r="G38" i="4"/>
  <c r="D44" i="6" s="1"/>
  <c r="F38" i="4"/>
  <c r="J38" i="4" s="1"/>
  <c r="H44" i="6" s="1"/>
  <c r="L44" i="6" s="1"/>
  <c r="E38" i="4"/>
  <c r="D38" i="4"/>
  <c r="C38" i="4"/>
  <c r="L37" i="4"/>
  <c r="H37" i="4"/>
  <c r="E43" i="6" s="1"/>
  <c r="G37" i="4"/>
  <c r="F37" i="4"/>
  <c r="E37" i="4"/>
  <c r="M37" i="4" s="1"/>
  <c r="K43" i="6" s="1"/>
  <c r="D37" i="4"/>
  <c r="D43" i="6" s="1"/>
  <c r="C37" i="4"/>
  <c r="M36" i="4"/>
  <c r="L36" i="4"/>
  <c r="I36" i="4"/>
  <c r="F42" i="6" s="1"/>
  <c r="G42" i="6" s="1"/>
  <c r="H36" i="4"/>
  <c r="G36" i="4"/>
  <c r="F36" i="4"/>
  <c r="E36" i="4"/>
  <c r="E42" i="6" s="1"/>
  <c r="D36" i="4"/>
  <c r="D42" i="6" s="1"/>
  <c r="C36" i="4"/>
  <c r="C42" i="6" s="1"/>
  <c r="H35" i="4"/>
  <c r="G35" i="4"/>
  <c r="F35" i="4"/>
  <c r="E35" i="4"/>
  <c r="E41" i="6" s="1"/>
  <c r="D35" i="4"/>
  <c r="C35" i="4"/>
  <c r="C41" i="6" s="1"/>
  <c r="H34" i="4"/>
  <c r="G34" i="4"/>
  <c r="F34" i="4"/>
  <c r="E34" i="4"/>
  <c r="E40" i="6" s="1"/>
  <c r="D34" i="4"/>
  <c r="K34" i="4" s="1"/>
  <c r="C34" i="4"/>
  <c r="M33" i="4"/>
  <c r="K39" i="6" s="1"/>
  <c r="K33" i="4"/>
  <c r="I39" i="6" s="1"/>
  <c r="J33" i="4"/>
  <c r="H39" i="6" s="1"/>
  <c r="H33" i="4"/>
  <c r="G33" i="4"/>
  <c r="F33" i="4"/>
  <c r="E33" i="4"/>
  <c r="D33" i="4"/>
  <c r="C33" i="4"/>
  <c r="I33" i="4" s="1"/>
  <c r="F39" i="6" s="1"/>
  <c r="G39" i="6" s="1"/>
  <c r="M32" i="4"/>
  <c r="L32" i="4"/>
  <c r="H32" i="4"/>
  <c r="G32" i="4"/>
  <c r="F32" i="4"/>
  <c r="E32" i="4"/>
  <c r="E38" i="6" s="1"/>
  <c r="D32" i="4"/>
  <c r="C32" i="4"/>
  <c r="L31" i="4"/>
  <c r="H31" i="4"/>
  <c r="G31" i="4"/>
  <c r="F31" i="4"/>
  <c r="E31" i="4"/>
  <c r="M31" i="4" s="1"/>
  <c r="K37" i="6" s="1"/>
  <c r="D31" i="4"/>
  <c r="D37" i="6" s="1"/>
  <c r="C31" i="4"/>
  <c r="J31" i="4" s="1"/>
  <c r="H37" i="6" s="1"/>
  <c r="L37" i="6" s="1"/>
  <c r="M30" i="4"/>
  <c r="K36" i="6" s="1"/>
  <c r="L30" i="4"/>
  <c r="J36" i="6" s="1"/>
  <c r="H30" i="4"/>
  <c r="E36" i="6" s="1"/>
  <c r="G30" i="4"/>
  <c r="D36" i="6" s="1"/>
  <c r="F30" i="4"/>
  <c r="E30" i="4"/>
  <c r="D30" i="4"/>
  <c r="C30" i="4"/>
  <c r="L29" i="4"/>
  <c r="J35" i="6" s="1"/>
  <c r="H29" i="4"/>
  <c r="G29" i="4"/>
  <c r="F29" i="4"/>
  <c r="E29" i="4"/>
  <c r="D29" i="4"/>
  <c r="D35" i="6" s="1"/>
  <c r="C29" i="4"/>
  <c r="M28" i="4"/>
  <c r="K34" i="6" s="1"/>
  <c r="H28" i="4"/>
  <c r="G28" i="4"/>
  <c r="F28" i="4"/>
  <c r="E28" i="4"/>
  <c r="E34" i="6" s="1"/>
  <c r="D28" i="4"/>
  <c r="K28" i="4" s="1"/>
  <c r="I34" i="6" s="1"/>
  <c r="C28" i="4"/>
  <c r="J28" i="4" s="1"/>
  <c r="H34" i="6" s="1"/>
  <c r="J27" i="4"/>
  <c r="H27" i="4"/>
  <c r="E33" i="6" s="1"/>
  <c r="G27" i="4"/>
  <c r="K27" i="4" s="1"/>
  <c r="F27" i="4"/>
  <c r="E27" i="4"/>
  <c r="D27" i="4"/>
  <c r="D33" i="6" s="1"/>
  <c r="C27" i="4"/>
  <c r="C33" i="6" s="1"/>
  <c r="M26" i="4"/>
  <c r="L26" i="4"/>
  <c r="H26" i="4"/>
  <c r="G26" i="4"/>
  <c r="F26" i="4"/>
  <c r="E26" i="4"/>
  <c r="D26" i="4"/>
  <c r="C26" i="4"/>
  <c r="M25" i="4"/>
  <c r="K31" i="6" s="1"/>
  <c r="L25" i="4"/>
  <c r="J31" i="6" s="1"/>
  <c r="J25" i="4"/>
  <c r="H31" i="6" s="1"/>
  <c r="L31" i="6" s="1"/>
  <c r="H25" i="4"/>
  <c r="G25" i="4"/>
  <c r="F25" i="4"/>
  <c r="E25" i="4"/>
  <c r="D25" i="4"/>
  <c r="C25" i="4"/>
  <c r="I25" i="4" s="1"/>
  <c r="F31" i="6" s="1"/>
  <c r="G31" i="6" s="1"/>
  <c r="L24" i="4"/>
  <c r="J24" i="4"/>
  <c r="H30" i="6" s="1"/>
  <c r="H24" i="4"/>
  <c r="G24" i="4"/>
  <c r="F24" i="4"/>
  <c r="E24" i="4"/>
  <c r="D24" i="4"/>
  <c r="C24" i="4"/>
  <c r="M23" i="4"/>
  <c r="L23" i="4"/>
  <c r="H23" i="4"/>
  <c r="G23" i="4"/>
  <c r="F23" i="4"/>
  <c r="E23" i="4"/>
  <c r="D23" i="4"/>
  <c r="D29" i="6" s="1"/>
  <c r="C23" i="4"/>
  <c r="C29" i="6" s="1"/>
  <c r="K22" i="4"/>
  <c r="I28" i="6" s="1"/>
  <c r="J22" i="4"/>
  <c r="H28" i="6" s="1"/>
  <c r="I22" i="4"/>
  <c r="F28" i="6" s="1"/>
  <c r="H22" i="4"/>
  <c r="G22" i="4"/>
  <c r="F22" i="4"/>
  <c r="E22" i="4"/>
  <c r="D22" i="4"/>
  <c r="C22" i="4"/>
  <c r="J21" i="4"/>
  <c r="H27" i="6" s="1"/>
  <c r="H21" i="4"/>
  <c r="G21" i="4"/>
  <c r="F21" i="4"/>
  <c r="E21" i="4"/>
  <c r="D21" i="4"/>
  <c r="C21" i="4"/>
  <c r="H20" i="4"/>
  <c r="G20" i="4"/>
  <c r="F20" i="4"/>
  <c r="E20" i="4"/>
  <c r="E26" i="6" s="1"/>
  <c r="D20" i="4"/>
  <c r="K20" i="4" s="1"/>
  <c r="C20" i="4"/>
  <c r="K19" i="4"/>
  <c r="I25" i="6" s="1"/>
  <c r="J19" i="4"/>
  <c r="H19" i="4"/>
  <c r="G19" i="4"/>
  <c r="F19" i="4"/>
  <c r="E19" i="4"/>
  <c r="D19" i="4"/>
  <c r="D25" i="6" s="1"/>
  <c r="C19" i="4"/>
  <c r="I19" i="4" s="1"/>
  <c r="F25" i="6" s="1"/>
  <c r="G25" i="6" s="1"/>
  <c r="M18" i="4"/>
  <c r="K24" i="6" s="1"/>
  <c r="L18" i="4"/>
  <c r="J24" i="6" s="1"/>
  <c r="H18" i="4"/>
  <c r="G18" i="4"/>
  <c r="F18" i="4"/>
  <c r="E18" i="4"/>
  <c r="E24" i="6" s="1"/>
  <c r="D18" i="4"/>
  <c r="D24" i="6" s="1"/>
  <c r="C18" i="4"/>
  <c r="M17" i="4"/>
  <c r="K23" i="6" s="1"/>
  <c r="L17" i="4"/>
  <c r="J23" i="6" s="1"/>
  <c r="H17" i="4"/>
  <c r="G17" i="4"/>
  <c r="F17" i="4"/>
  <c r="E17" i="4"/>
  <c r="E23" i="6" s="1"/>
  <c r="D17" i="4"/>
  <c r="D23" i="6" s="1"/>
  <c r="C17" i="4"/>
  <c r="J17" i="4" s="1"/>
  <c r="H23" i="6" s="1"/>
  <c r="L23" i="6" s="1"/>
  <c r="M16" i="4"/>
  <c r="K22" i="6" s="1"/>
  <c r="L22" i="6" s="1"/>
  <c r="L16" i="4"/>
  <c r="J16" i="4"/>
  <c r="H22" i="6" s="1"/>
  <c r="H16" i="4"/>
  <c r="E22" i="6" s="1"/>
  <c r="G16" i="4"/>
  <c r="F16" i="4"/>
  <c r="E16" i="4"/>
  <c r="D16" i="4"/>
  <c r="D22" i="6" s="1"/>
  <c r="C16" i="4"/>
  <c r="L15" i="4"/>
  <c r="J21" i="6" s="1"/>
  <c r="H15" i="4"/>
  <c r="G15" i="4"/>
  <c r="F15" i="4"/>
  <c r="E15" i="4"/>
  <c r="M15" i="4" s="1"/>
  <c r="K21" i="6" s="1"/>
  <c r="D15" i="4"/>
  <c r="D21" i="6" s="1"/>
  <c r="C15" i="4"/>
  <c r="H14" i="4"/>
  <c r="G14" i="4"/>
  <c r="F14" i="4"/>
  <c r="E14" i="4"/>
  <c r="D14" i="4"/>
  <c r="K14" i="4" s="1"/>
  <c r="I20" i="6" s="1"/>
  <c r="C14" i="4"/>
  <c r="J14" i="4" s="1"/>
  <c r="H20" i="6" s="1"/>
  <c r="K13" i="4"/>
  <c r="J13" i="4"/>
  <c r="H19" i="6" s="1"/>
  <c r="H13" i="4"/>
  <c r="E19" i="6" s="1"/>
  <c r="G13" i="4"/>
  <c r="D19" i="6" s="1"/>
  <c r="F13" i="4"/>
  <c r="E13" i="4"/>
  <c r="D13" i="4"/>
  <c r="C13" i="4"/>
  <c r="L12" i="4"/>
  <c r="H12" i="4"/>
  <c r="G12" i="4"/>
  <c r="F12" i="4"/>
  <c r="E12" i="4"/>
  <c r="E18" i="6" s="1"/>
  <c r="D12" i="4"/>
  <c r="D18" i="6" s="1"/>
  <c r="C12" i="4"/>
  <c r="M11" i="4"/>
  <c r="K17" i="6" s="1"/>
  <c r="K11" i="4"/>
  <c r="I17" i="6" s="1"/>
  <c r="H11" i="4"/>
  <c r="G11" i="4"/>
  <c r="F11" i="4"/>
  <c r="E11" i="4"/>
  <c r="D11" i="4"/>
  <c r="D17" i="6" s="1"/>
  <c r="C11" i="4"/>
  <c r="J11" i="4" s="1"/>
  <c r="H10" i="4"/>
  <c r="E16" i="6" s="1"/>
  <c r="G10" i="4"/>
  <c r="K10" i="4" s="1"/>
  <c r="F10" i="4"/>
  <c r="C16" i="6" s="1"/>
  <c r="E10" i="4"/>
  <c r="D10" i="4"/>
  <c r="C10" i="4"/>
  <c r="H9" i="4"/>
  <c r="G9" i="4"/>
  <c r="F9" i="4"/>
  <c r="E9" i="4"/>
  <c r="E15" i="6" s="1"/>
  <c r="D9" i="4"/>
  <c r="C9" i="4"/>
  <c r="H8" i="4"/>
  <c r="G8" i="4"/>
  <c r="F8" i="4"/>
  <c r="E8" i="4"/>
  <c r="E14" i="6" s="1"/>
  <c r="D8" i="4"/>
  <c r="K8" i="4" s="1"/>
  <c r="M8" i="4" s="1"/>
  <c r="K14" i="6" s="1"/>
  <c r="C8" i="4"/>
  <c r="J8" i="4" s="1"/>
  <c r="H14" i="6" s="1"/>
  <c r="J7" i="4"/>
  <c r="H7" i="4"/>
  <c r="I7" i="4" s="1"/>
  <c r="F13" i="6" s="1"/>
  <c r="G7" i="4"/>
  <c r="K7" i="4" s="1"/>
  <c r="F7" i="4"/>
  <c r="E7" i="4"/>
  <c r="D7" i="4"/>
  <c r="C7" i="4"/>
  <c r="C13" i="6" s="1"/>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G13" i="6" l="1"/>
  <c r="L27" i="4"/>
  <c r="J33" i="6" s="1"/>
  <c r="I33" i="6"/>
  <c r="M27" i="4"/>
  <c r="K33" i="6" s="1"/>
  <c r="L14" i="6"/>
  <c r="L7" i="4"/>
  <c r="J13" i="6" s="1"/>
  <c r="I13" i="6"/>
  <c r="M7" i="4"/>
  <c r="K13" i="6" s="1"/>
  <c r="L13" i="6" s="1"/>
  <c r="D15" i="6"/>
  <c r="K9" i="4"/>
  <c r="C21" i="6"/>
  <c r="I15" i="4"/>
  <c r="F21" i="6" s="1"/>
  <c r="G21" i="6" s="1"/>
  <c r="L28" i="6"/>
  <c r="L36" i="6"/>
  <c r="C38" i="6"/>
  <c r="I32" i="4"/>
  <c r="F38" i="6" s="1"/>
  <c r="G38" i="6" s="1"/>
  <c r="J34" i="4"/>
  <c r="H40" i="6" s="1"/>
  <c r="I34" i="4"/>
  <c r="F40" i="6" s="1"/>
  <c r="G40" i="6" s="1"/>
  <c r="L22" i="4"/>
  <c r="J28" i="6" s="1"/>
  <c r="M34" i="4"/>
  <c r="K40" i="6" s="1"/>
  <c r="L34" i="4"/>
  <c r="J40" i="6" s="1"/>
  <c r="I40" i="6"/>
  <c r="L33" i="6"/>
  <c r="D27" i="6"/>
  <c r="K21" i="4"/>
  <c r="M22" i="4"/>
  <c r="K28" i="6" s="1"/>
  <c r="I38" i="4"/>
  <c r="F44" i="6" s="1"/>
  <c r="G44" i="6" s="1"/>
  <c r="I13" i="4"/>
  <c r="F19" i="6" s="1"/>
  <c r="G19" i="6" s="1"/>
  <c r="E27" i="6"/>
  <c r="E4" i="4" s="1"/>
  <c r="I30" i="4"/>
  <c r="F36" i="6" s="1"/>
  <c r="G36" i="6" s="1"/>
  <c r="J32" i="4"/>
  <c r="H38" i="6" s="1"/>
  <c r="L38" i="6" s="1"/>
  <c r="D4" i="6"/>
  <c r="L11" i="4"/>
  <c r="J17" i="6" s="1"/>
  <c r="C27" i="6"/>
  <c r="I21" i="4"/>
  <c r="F27" i="6" s="1"/>
  <c r="G27" i="6" s="1"/>
  <c r="L28" i="4"/>
  <c r="J34" i="6" s="1"/>
  <c r="L34" i="6" s="1"/>
  <c r="L17" i="6"/>
  <c r="L19" i="4"/>
  <c r="J25" i="6" s="1"/>
  <c r="L25" i="6" s="1"/>
  <c r="J35" i="4"/>
  <c r="H41" i="6" s="1"/>
  <c r="I35" i="4"/>
  <c r="F41" i="6" s="1"/>
  <c r="G41" i="6" s="1"/>
  <c r="L21" i="6"/>
  <c r="I19" i="6"/>
  <c r="L13" i="4"/>
  <c r="J19" i="6" s="1"/>
  <c r="I37" i="4"/>
  <c r="F43" i="6" s="1"/>
  <c r="C43" i="6"/>
  <c r="J37" i="4"/>
  <c r="H43" i="6" s="1"/>
  <c r="L43" i="6" s="1"/>
  <c r="I12" i="4"/>
  <c r="F18" i="6" s="1"/>
  <c r="C18" i="6"/>
  <c r="M13" i="4"/>
  <c r="K19" i="6" s="1"/>
  <c r="L19" i="6" s="1"/>
  <c r="J29" i="4"/>
  <c r="H35" i="6" s="1"/>
  <c r="L35" i="6" s="1"/>
  <c r="I29" i="4"/>
  <c r="F35" i="6" s="1"/>
  <c r="G35" i="6" s="1"/>
  <c r="C35" i="6"/>
  <c r="C40" i="6"/>
  <c r="L20" i="6"/>
  <c r="D41" i="6"/>
  <c r="K35" i="4"/>
  <c r="I16" i="6"/>
  <c r="M10" i="4"/>
  <c r="K16" i="6" s="1"/>
  <c r="E35" i="6"/>
  <c r="M29" i="4"/>
  <c r="K35" i="6" s="1"/>
  <c r="I10" i="4"/>
  <c r="F16" i="6" s="1"/>
  <c r="M19" i="4"/>
  <c r="K25" i="6" s="1"/>
  <c r="I27" i="4"/>
  <c r="F33" i="6" s="1"/>
  <c r="G33" i="6" s="1"/>
  <c r="E47" i="6"/>
  <c r="M41" i="4"/>
  <c r="K47" i="6" s="1"/>
  <c r="L47" i="6" s="1"/>
  <c r="J10" i="4"/>
  <c r="H16" i="6" s="1"/>
  <c r="L16" i="6" s="1"/>
  <c r="I18" i="4"/>
  <c r="F24" i="6" s="1"/>
  <c r="G24" i="6" s="1"/>
  <c r="J20" i="4"/>
  <c r="H26" i="6" s="1"/>
  <c r="L26" i="6" s="1"/>
  <c r="C26" i="6"/>
  <c r="I20" i="4"/>
  <c r="F26" i="6" s="1"/>
  <c r="G26" i="6" s="1"/>
  <c r="I41" i="4"/>
  <c r="F47" i="6" s="1"/>
  <c r="G47" i="6" s="1"/>
  <c r="C44" i="6"/>
  <c r="L8" i="4"/>
  <c r="J14" i="6" s="1"/>
  <c r="L10" i="4"/>
  <c r="J16" i="6" s="1"/>
  <c r="I16" i="4"/>
  <c r="F22" i="6" s="1"/>
  <c r="G22" i="6" s="1"/>
  <c r="M20" i="4"/>
  <c r="K26" i="6" s="1"/>
  <c r="L20" i="4"/>
  <c r="J26" i="6" s="1"/>
  <c r="D30" i="6"/>
  <c r="I26" i="4"/>
  <c r="F32" i="6" s="1"/>
  <c r="G32" i="6" s="1"/>
  <c r="D13" i="6"/>
  <c r="L14" i="4"/>
  <c r="J20" i="6" s="1"/>
  <c r="E30" i="6"/>
  <c r="M24" i="4"/>
  <c r="K30" i="6" s="1"/>
  <c r="L30" i="6" s="1"/>
  <c r="J40" i="4"/>
  <c r="H46" i="6" s="1"/>
  <c r="L46" i="6" s="1"/>
  <c r="I40" i="4"/>
  <c r="F46" i="6" s="1"/>
  <c r="G46" i="6" s="1"/>
  <c r="C46" i="6"/>
  <c r="J9" i="4"/>
  <c r="H15" i="6" s="1"/>
  <c r="I9" i="4"/>
  <c r="F15" i="6" s="1"/>
  <c r="G15" i="6" s="1"/>
  <c r="C15" i="6"/>
  <c r="M14" i="4"/>
  <c r="K20" i="6" s="1"/>
  <c r="J18" i="4"/>
  <c r="H24" i="6" s="1"/>
  <c r="L24" i="6" s="1"/>
  <c r="G28" i="6"/>
  <c r="C30" i="6"/>
  <c r="I24" i="4"/>
  <c r="F30" i="6" s="1"/>
  <c r="D38" i="6"/>
  <c r="L33" i="4"/>
  <c r="J39" i="6" s="1"/>
  <c r="L39" i="6" s="1"/>
  <c r="D16" i="6"/>
  <c r="C14" i="6"/>
  <c r="B4" i="4" s="1"/>
  <c r="C34" i="6"/>
  <c r="M12" i="4"/>
  <c r="K18" i="6" s="1"/>
  <c r="L18" i="6" s="1"/>
  <c r="I17" i="4"/>
  <c r="F23" i="6" s="1"/>
  <c r="G23" i="6" s="1"/>
  <c r="I23" i="4"/>
  <c r="F29" i="6" s="1"/>
  <c r="G29" i="6" s="1"/>
  <c r="I31" i="4"/>
  <c r="F37" i="6" s="1"/>
  <c r="D14" i="6"/>
  <c r="D26" i="6"/>
  <c r="D34" i="6"/>
  <c r="J23" i="4"/>
  <c r="H29" i="6" s="1"/>
  <c r="L29" i="6" s="1"/>
  <c r="I8" i="4"/>
  <c r="F14" i="6" s="1"/>
  <c r="G14" i="6" s="1"/>
  <c r="I14" i="4"/>
  <c r="F20" i="6" s="1"/>
  <c r="G20" i="6" s="1"/>
  <c r="I28" i="4"/>
  <c r="F34" i="6" s="1"/>
  <c r="G34" i="6" s="1"/>
  <c r="I39" i="4"/>
  <c r="F45" i="6" s="1"/>
  <c r="G45" i="6" s="1"/>
  <c r="I11" i="4"/>
  <c r="F17" i="6" s="1"/>
  <c r="J39" i="4"/>
  <c r="H45" i="6" s="1"/>
  <c r="C17" i="6"/>
  <c r="C25" i="6"/>
  <c r="C37" i="6"/>
  <c r="K39" i="4"/>
  <c r="G30" i="6" l="1"/>
  <c r="G18" i="6"/>
  <c r="G16" i="6"/>
  <c r="L40" i="6"/>
  <c r="M9" i="4"/>
  <c r="K15" i="6" s="1"/>
  <c r="I15" i="6"/>
  <c r="L9" i="4"/>
  <c r="J15" i="6" s="1"/>
  <c r="L15" i="6" s="1"/>
  <c r="D10" i="6" s="1"/>
  <c r="B5" i="4"/>
  <c r="G43" i="6"/>
  <c r="I45" i="6"/>
  <c r="M39" i="4"/>
  <c r="K45" i="6" s="1"/>
  <c r="L45" i="6" s="1"/>
  <c r="L39" i="4"/>
  <c r="J45" i="6" s="1"/>
  <c r="M35" i="4"/>
  <c r="K41" i="6" s="1"/>
  <c r="L41" i="6" s="1"/>
  <c r="L35" i="4"/>
  <c r="J41" i="6" s="1"/>
  <c r="I41" i="6"/>
  <c r="I27" i="6"/>
  <c r="M21" i="4"/>
  <c r="K27" i="6" s="1"/>
  <c r="L27" i="6" s="1"/>
  <c r="L21" i="4"/>
  <c r="J27" i="6" s="1"/>
  <c r="D8" i="6"/>
  <c r="D7" i="6"/>
  <c r="D6" i="6"/>
  <c r="D5" i="6"/>
  <c r="D9" i="6"/>
  <c r="G37" i="6"/>
  <c r="G17" i="6"/>
  <c r="E5" i="4"/>
</calcChain>
</file>

<file path=xl/sharedStrings.xml><?xml version="1.0" encoding="utf-8"?>
<sst xmlns="http://schemas.openxmlformats.org/spreadsheetml/2006/main" count="3711" uniqueCount="1747">
  <si>
    <t>Expert Reference Set – Simple Workflow</t>
  </si>
  <si>
    <t>Purpose: create an independent expert reference set before evaluating the LLM.</t>
  </si>
  <si>
    <t>Step</t>
  </si>
  <si>
    <t>What to do</t>
  </si>
  <si>
    <t>Term</t>
  </si>
  <si>
    <t>Meaning</t>
  </si>
  <si>
    <t>Expert A and Expert B complete their own sheets independently</t>
  </si>
  <si>
    <t>Direct</t>
  </si>
  <si>
    <t>A suitable database process represents the same material/product sufficiently well.</t>
  </si>
  <si>
    <t>For each BOM item, write a normalized material name. Then select the best process from ELCD_Catalog and the UUID fills automatically.</t>
  </si>
  <si>
    <t>Proxy</t>
  </si>
  <si>
    <t>No direct process exists, but a technically defensible substitute is available.</t>
  </si>
  <si>
    <t>Review Required</t>
  </si>
  <si>
    <t>After both experts finish, use Reconciliation to create the final reference answer. Any field on which both experts agree is carried forward automatically, and reconcile only the remaining blank final fields. Only after all required final fields are resolved should LLM scoring begin.</t>
  </si>
  <si>
    <t>Confidence</t>
  </si>
  <si>
    <t>High = clear, Medium = judgment required, Low = substantial uncertainty.</t>
  </si>
  <si>
    <t>Important: ELCD_Catalog contains the 608 processes exported from the active openLCA database. Experts should select only from this catalog and should not estimate emission factors.</t>
  </si>
  <si>
    <t>Expert A – Independent Expert Review</t>
  </si>
  <si>
    <t>ID</t>
  </si>
  <si>
    <t>Case Study</t>
  </si>
  <si>
    <t>Original BOM Description</t>
  </si>
  <si>
    <t>Qty.</t>
  </si>
  <si>
    <t>Unit</t>
  </si>
  <si>
    <t>Normalized Material</t>
  </si>
  <si>
    <t>Best ELCD/openLCA Process (select from catalog)</t>
  </si>
  <si>
    <t>Process UUID (auto)</t>
  </si>
  <si>
    <t>Match Type</t>
  </si>
  <si>
    <t>Brief Notes / Rationale</t>
  </si>
  <si>
    <t>S01</t>
  </si>
  <si>
    <t>Stonecrete House</t>
  </si>
  <si>
    <t>Ordinary Portland Cement (OPC 43-grade)</t>
  </si>
  <si>
    <t>kg</t>
  </si>
  <si>
    <t>Cement</t>
  </si>
  <si>
    <t>High</t>
  </si>
  <si>
    <t>S02</t>
  </si>
  <si>
    <t>River Sand (clean, well-graded)</t>
  </si>
  <si>
    <t>Sand</t>
  </si>
  <si>
    <t>S03</t>
  </si>
  <si>
    <t>Natural Gravel</t>
  </si>
  <si>
    <t>m³</t>
  </si>
  <si>
    <t>Gravel</t>
  </si>
  <si>
    <t>S04</t>
  </si>
  <si>
    <t>Stone</t>
  </si>
  <si>
    <t>Medium</t>
  </si>
  <si>
    <t xml:space="preserve">Not entirely sure about types of stone </t>
  </si>
  <si>
    <t>S05</t>
  </si>
  <si>
    <t>Plain Cement Concrete (PCC M10 — 1:3:6) - Binding Layer</t>
  </si>
  <si>
    <t>Concrete</t>
  </si>
  <si>
    <t>S06</t>
  </si>
  <si>
    <t>Stonecrete block</t>
  </si>
  <si>
    <t xml:space="preserve">Concrete block </t>
  </si>
  <si>
    <t>Low</t>
  </si>
  <si>
    <t xml:space="preserve">Note sure about the types of stone slected. </t>
  </si>
  <si>
    <t>S07</t>
  </si>
  <si>
    <t>Rebar TMT Fe500</t>
  </si>
  <si>
    <t>Rebar</t>
  </si>
  <si>
    <t>S08</t>
  </si>
  <si>
    <t>Binding Wire (soft annealed, 18-gauge)</t>
  </si>
  <si>
    <t xml:space="preserve">Wire </t>
  </si>
  <si>
    <t xml:space="preserve">Unsure about materials types, either steel or copper or others </t>
  </si>
  <si>
    <t>S09</t>
  </si>
  <si>
    <t>Corrugated Galvanized Iron (CGI) Sheet, 0.45 mm BMT</t>
  </si>
  <si>
    <t xml:space="preserve">Steel Rolls </t>
  </si>
  <si>
    <t xml:space="preserve">review required as not clear if it is EAF or blast furnace </t>
  </si>
  <si>
    <t>S10</t>
  </si>
  <si>
    <t>Timber for purlin, rafter, and column post</t>
  </si>
  <si>
    <t>Timber</t>
  </si>
  <si>
    <t xml:space="preserve">which wood unsure </t>
  </si>
  <si>
    <t>S11</t>
  </si>
  <si>
    <t>Plaster 1:4 — External Walls, 15 mm thick</t>
  </si>
  <si>
    <t>m²</t>
  </si>
  <si>
    <t xml:space="preserve">Plaster </t>
  </si>
  <si>
    <t>S12</t>
  </si>
  <si>
    <t>Plaster 1:6 — Internal Walls, 12 mm thick</t>
  </si>
  <si>
    <t>B01</t>
  </si>
  <si>
    <t>Bamboo House</t>
  </si>
  <si>
    <t>B02</t>
  </si>
  <si>
    <t>B03</t>
  </si>
  <si>
    <t>B04</t>
  </si>
  <si>
    <t xml:space="preserve">Stone </t>
  </si>
  <si>
    <t>B05</t>
  </si>
  <si>
    <t>Soil</t>
  </si>
  <si>
    <t xml:space="preserve">Not available; needs research </t>
  </si>
  <si>
    <t>B06</t>
  </si>
  <si>
    <t>Local Wood</t>
  </si>
  <si>
    <t xml:space="preserve">Wood </t>
  </si>
  <si>
    <t>B07</t>
  </si>
  <si>
    <t>19mm Plywood</t>
  </si>
  <si>
    <t>Plywood</t>
  </si>
  <si>
    <t>No possible plywood located.</t>
  </si>
  <si>
    <t>B08</t>
  </si>
  <si>
    <t>Nail</t>
  </si>
  <si>
    <t>Steel nail</t>
  </si>
  <si>
    <t>No possible proxy data match for nail.</t>
  </si>
  <si>
    <t>B09</t>
  </si>
  <si>
    <t>10mm Rebar</t>
  </si>
  <si>
    <t>B10</t>
  </si>
  <si>
    <t>7mm Rebar</t>
  </si>
  <si>
    <t>B11</t>
  </si>
  <si>
    <t>Binding Wire</t>
  </si>
  <si>
    <t>B12</t>
  </si>
  <si>
    <t>24 Gauge CGI Sheets</t>
  </si>
  <si>
    <t>B13</t>
  </si>
  <si>
    <t>3mm Commercial Plywood</t>
  </si>
  <si>
    <t>B14</t>
  </si>
  <si>
    <t>Bamboo</t>
  </si>
  <si>
    <t>A01</t>
  </si>
  <si>
    <t>Bamboo House with Attic</t>
  </si>
  <si>
    <t>A02</t>
  </si>
  <si>
    <t>A03</t>
  </si>
  <si>
    <t>A04</t>
  </si>
  <si>
    <t>Soil Blocks</t>
  </si>
  <si>
    <t>Nos.</t>
  </si>
  <si>
    <t>A05</t>
  </si>
  <si>
    <t>Wood</t>
  </si>
  <si>
    <t>A06</t>
  </si>
  <si>
    <t>A07</t>
  </si>
  <si>
    <t>A08</t>
  </si>
  <si>
    <t>A09</t>
  </si>
  <si>
    <t>CGI Sheets</t>
  </si>
  <si>
    <t>Expert B – Independent Expert Review</t>
  </si>
  <si>
    <t>Block</t>
  </si>
  <si>
    <t>Wire</t>
  </si>
  <si>
    <t>Plaster</t>
  </si>
  <si>
    <t>Blocks</t>
  </si>
  <si>
    <t>Reconciliation and Later LLM Review</t>
  </si>
  <si>
    <t>Metric</t>
  </si>
  <si>
    <t>Value</t>
  </si>
  <si>
    <t>Summary</t>
  </si>
  <si>
    <t>Final normalized material pre-filled</t>
  </si>
  <si>
    <t>Final decision pre-filled</t>
  </si>
  <si>
    <t>Final reference process pre-filled</t>
  </si>
  <si>
    <t>Full row agreement</t>
  </si>
  <si>
    <t>Expert A Normalized</t>
  </si>
  <si>
    <t>Expert A Process</t>
  </si>
  <si>
    <t>Expert A Decision</t>
  </si>
  <si>
    <t>Expert B Normalized</t>
  </si>
  <si>
    <t>Expert B Process</t>
  </si>
  <si>
    <t>Expert B Decision</t>
  </si>
  <si>
    <t>Row Status</t>
  </si>
  <si>
    <t>Final Normalized Material</t>
  </si>
  <si>
    <t>Final Reference Process</t>
  </si>
  <si>
    <t>Final Process UUID</t>
  </si>
  <si>
    <t>Final Decision</t>
  </si>
  <si>
    <t>LLM Normalized (later)</t>
  </si>
  <si>
    <t>LLM Process (later)</t>
  </si>
  <si>
    <t>LLM Decision (later)</t>
  </si>
  <si>
    <t>Post-review Outcome</t>
  </si>
  <si>
    <t>Notes</t>
  </si>
  <si>
    <t>Stonecrete Block</t>
  </si>
  <si>
    <t>Lightweight concrete block, production mix, at plant, expanded clay as base material | RER | 898618b6</t>
  </si>
  <si>
    <t>corrugated board sheets, production mix, at plant, technology mix, 18% primary fibre, 82 % recycled fibre | EU-27 | 7311da1a</t>
  </si>
  <si>
    <t>Spruce wood, production mix, at saw mill, timber, 40% water content | DE | 2b61a4d6</t>
  </si>
  <si>
    <t>Not available</t>
  </si>
  <si>
    <t>Pine wood, production mix, at saw mill, timber, 40% water content | DE | 621e64d0</t>
  </si>
  <si>
    <t>Copper wire, consumption mix, at plant, technology mix, cross section 1 mmy | EU-15 | 11bceac4</t>
  </si>
  <si>
    <t>Selection Label</t>
  </si>
  <si>
    <t>Process UUID</t>
  </si>
  <si>
    <t>Process Name</t>
  </si>
  <si>
    <t>Location</t>
  </si>
  <si>
    <t>Process Type</t>
  </si>
  <si>
    <t>Category</t>
  </si>
  <si>
    <t>Library</t>
  </si>
  <si>
    <t>How to use this sheet</t>
  </si>
  <si>
    <t>Electricity Mix, consumption mix, at consumer, AC, 230-240V | GB | 00043bd2</t>
  </si>
  <si>
    <t>00043bd2-4563-4d73-8df8-b84b5d8902fc</t>
  </si>
  <si>
    <t>Electricity Mix, consumption mix, at consumer, AC, 230-240V</t>
  </si>
  <si>
    <t>GB</t>
  </si>
  <si>
    <t>ProcessType.LCI_RESULT</t>
  </si>
  <si>
    <t>Filter/search Process Name or Selection Label.</t>
  </si>
  <si>
    <t>Process steam from natural gas, consumption mix, at plant, heat plant, MJ | SK | 00174864</t>
  </si>
  <si>
    <t>00174864-910e-4952-8f02-6ea3a2efa77b</t>
  </si>
  <si>
    <t>Process steam from natural gas, consumption mix, at plant, heat plant, MJ</t>
  </si>
  <si>
    <t>SK</t>
  </si>
  <si>
    <t>Use the Selection Label in Expert_A / Expert_B.</t>
  </si>
  <si>
    <t>Electricity Mix, consumption mix, at consumer, AC, &lt; 1kV | EU-27 | 001b3cb7</t>
  </si>
  <si>
    <t>001b3cb7-b868-4061-8a91-3e6d7bcc90c6</t>
  </si>
  <si>
    <t>Electricity Mix, consumption mix, at consumer, AC, &lt; 1kV</t>
  </si>
  <si>
    <t>EU-27</t>
  </si>
  <si>
    <t>The catalog contains 608 processes exported from the active openLCA database.</t>
  </si>
  <si>
    <t>Process steam from Light fuel oil 90%, consumption mix, at power plant, heat plant, MJ, 90 % efficiency | EU-27 | 00f9cd63</t>
  </si>
  <si>
    <t>00f9cd63-cba5-4c94-ade3-a4248a9b9dc2</t>
  </si>
  <si>
    <t>Process steam from Light fuel oil 90%, consumption mix, at power plant, heat plant, MJ, 90 % efficiency</t>
  </si>
  <si>
    <t>Polyethylene terephthalate (PET) granulate, production mix, at plant, amorphous | RER | 028b2915</t>
  </si>
  <si>
    <t>028b2915-00a5-4967-b356-34bce19960c3</t>
  </si>
  <si>
    <t>Polyethylene terephthalate (PET) granulate, production mix, at plant, amorphous</t>
  </si>
  <si>
    <t>RER</t>
  </si>
  <si>
    <t>Electricity grid mix, consumption mix, at consumer, AC, 230V | FI | 041ec348</t>
  </si>
  <si>
    <t>041ec348-4b41-4caa-afe6-8e322e1faa81</t>
  </si>
  <si>
    <t>Electricity grid mix, consumption mix, at consumer, AC, 230V</t>
  </si>
  <si>
    <t>FI</t>
  </si>
  <si>
    <t>Electricity grid mix, consumption mix, at consumer, AC, 230V | LU | 05169f84</t>
  </si>
  <si>
    <t>05169f84-22bb-48aa-a054-6cb5317b7a97</t>
  </si>
  <si>
    <t>LU</t>
  </si>
  <si>
    <t>Process steam from natural gas 90%, consumption mix, at power plant, heat plant, MJ, 90 % efficiency | PT | 053bdcf5</t>
  </si>
  <si>
    <t>053bdcf5-bb2b-4ddd-8662-cbfd8c38ee97</t>
  </si>
  <si>
    <t>Process steam from natural gas 90%, consumption mix, at power plant, heat plant, MJ, 90 % efficiency</t>
  </si>
  <si>
    <t>PT</t>
  </si>
  <si>
    <t>Electricity Mix, consumption mix, at consumer, AC, 1kV - 60kV | SK | 05c86203</t>
  </si>
  <si>
    <t>05c86203-18c2-4f05-9ff2-a36dd58eed76</t>
  </si>
  <si>
    <t>Electricity Mix, consumption mix, at consumer, AC, 1kV - 60kV</t>
  </si>
  <si>
    <t>Compressed air, production mix, 7 bar, high efficiency, low power consumption | GLO | 06b7cba4</t>
  </si>
  <si>
    <t>06b7cba4-aa16-43ab-8031-0719079550be</t>
  </si>
  <si>
    <t>Compressed air, production mix, 7 bar, high efficiency, low power consumption</t>
  </si>
  <si>
    <t>GLO</t>
  </si>
  <si>
    <t>ProcessType.UNIT_PROCESS</t>
  </si>
  <si>
    <t>Polyethylene high density granulate (PE-HD), production mix, at plant | RER | 0704c700</t>
  </si>
  <si>
    <t>0704c700-2fb0-43c5-8803-bed8a6f1b968</t>
  </si>
  <si>
    <t>Polyethylene high density granulate (PE-HD), production mix, at plant</t>
  </si>
  <si>
    <t>Titanium Dioxide, production mix, at plant, Chloride and sulphate processes, &gt; 80% TiO2 | GLO | 07927a54</t>
  </si>
  <si>
    <t>07927a54-b4f1-5e6e-94ca-00006717e913</t>
  </si>
  <si>
    <t>Titanium Dioxide, production mix, at plant, Chloride and sulphate processes, &gt; 80% TiO2</t>
  </si>
  <si>
    <t>Process steam from natural gas 90%, consumption mix, at power plant, heat plant, MJ, 90 % efficiency | HU | 07b3df94</t>
  </si>
  <si>
    <t>07b3df94-53e8-46b7-b037-c972e1c71363</t>
  </si>
  <si>
    <t>HU</t>
  </si>
  <si>
    <t>Process steam from Light fuel oil 90 %, consumption mix, at power plant, heat plant, MJ, 90 % efficiency | GB | 08bdee5c</t>
  </si>
  <si>
    <t>08bdee5c-6e1d-41e2-b2e2-d7fa2a868add</t>
  </si>
  <si>
    <t>Process steam from Light fuel oil 90 %, consumption mix, at power plant, heat plant, MJ, 90 % efficiency</t>
  </si>
  <si>
    <t>Aluminium extrusion profile, production mix, at plant, primary production, aluminium semi-finished extrusion product, including primary production, transformation and   recycling | RER | 09215eb0</t>
  </si>
  <si>
    <t>09215eb0-5fc9-11dd-ad8b-0800200c9a66</t>
  </si>
  <si>
    <t>Aluminium extrusion profile, production mix, at plant, primary production, aluminium semi-finished extrusion product, including primary production, transformation and   recycling</t>
  </si>
  <si>
    <t>Aluminium sheet, production mix, at plant, primary production, aluminium semi-finished sheet product, including primary production, transformation and recycling | RER | 09215eb1</t>
  </si>
  <si>
    <t>09215eb1-5fc9-11dd-ad8b-0800200c9a66</t>
  </si>
  <si>
    <t>Aluminium sheet, production mix, at plant, primary production, aluminium semi-finished sheet product, including primary production, transformation and recycling</t>
  </si>
  <si>
    <t>Electricity Mix, consumption mix, at consumer, AC, 1kV - 60kV | HU | 0965577d</t>
  </si>
  <si>
    <t>0965577d-4e1a-44d0-bcc9-6e309fec0d3c</t>
  </si>
  <si>
    <t>Electricity Mix, consumption mix, at consumer, AC, 230V | SE | 0982d3bc</t>
  </si>
  <si>
    <t>0982d3bc-3459-44f8-82d4-c0b90b3bcafc</t>
  </si>
  <si>
    <t>Electricity Mix, consumption mix, at consumer, AC, 230V</t>
  </si>
  <si>
    <t>SE</t>
  </si>
  <si>
    <t>Barge, technology mix, 1.228 t pay load capacity | RER | 09aa1e7b</t>
  </si>
  <si>
    <t>09aa1e7b-1d7d-4a7c-8dde-ec6d40022fa1</t>
  </si>
  <si>
    <t>Barge, technology mix, 1.228 t pay load capacity</t>
  </si>
  <si>
    <t>Steel sections (ILCD), production mix, at plant, blast furnace route / electric arc furnace route, 1 kg | GLO | 09d61948</t>
  </si>
  <si>
    <t>09d61948-238a-40e7-8e1f-afdc0c98f902</t>
  </si>
  <si>
    <t>Steel sections (ILCD), production mix, at plant, blast furnace route / electric arc furnace route, 1 kg</t>
  </si>
  <si>
    <t>Electricity Mix, consumption mix, at consumer, AC, 1kV - 60kV | EU-27 | 0a1b40db</t>
  </si>
  <si>
    <t>0a1b40db-5645-4db8-a887-eb09300b7b74</t>
  </si>
  <si>
    <t>Process steam from Heavy fuel oil 90 %, consumption mix, at power plant, heat plant, MJ, 90 % efficiency | SI | 0a33548a</t>
  </si>
  <si>
    <t>0a33548a-0908-448d-bdbf-596943ad0070</t>
  </si>
  <si>
    <t>Process steam from Heavy fuel oil 90 %, consumption mix, at power plant, heat plant, MJ, 90 % efficiency</t>
  </si>
  <si>
    <t>SI</t>
  </si>
  <si>
    <t>Electricity grid mix 1kV-60kV, consumption mix, at consumer, AC, 1kV - 60kV | CY | 0bd3aec8</t>
  </si>
  <si>
    <t>0bd3aec8-286b-466f-868c-87917428450c</t>
  </si>
  <si>
    <t>Electricity grid mix 1kV-60kV, consumption mix, at consumer, AC, 1kV - 60kV</t>
  </si>
  <si>
    <t>CY</t>
  </si>
  <si>
    <t>Electricity grid mix 1kV-60kV, consumption mix, at consumer, AC, 1kV - 60kV | EE | 0c9b2e27</t>
  </si>
  <si>
    <t>0c9b2e27-57fe-4e75-9058-d42b8477fa1d</t>
  </si>
  <si>
    <t>EE</t>
  </si>
  <si>
    <t>Process steam from natural gas, consumption mix, at plant, heat plant, MJ | SI | 0cbf76cc</t>
  </si>
  <si>
    <t>0cbf76cc-0192-4617-acd3-0fdb3cecf6c7</t>
  </si>
  <si>
    <t>Process steam from Light fuel oil 90 %, consumption mix, at power plant, heat plant, MJ, 90 % efficiency | CH | 0d5746cd</t>
  </si>
  <si>
    <t>0d5746cd-6865-4970-8306-d3921bde6a07</t>
  </si>
  <si>
    <t>CH</t>
  </si>
  <si>
    <t>Process steam from Heavy fuel oil 90 %, consumption mix, at power plant, heat plant, MJ, 90 % efficiency | GR | 0d6065af</t>
  </si>
  <si>
    <t>0d6065af-078a-418c-bf19-6760376f1765</t>
  </si>
  <si>
    <t>GR</t>
  </si>
  <si>
    <t>PCC dry, Production at plant, Precipitated Calcium Carbonate (PCC) - dry, uncoated, with a CaCO3 content of 98% or more, a median particle size ranging typically from 1 to 3 µm, ready to be shipped either in bulk or bags. Production at plant., None | RER | 0d703908</t>
  </si>
  <si>
    <t>0d703908-42f0-4669-87b5-69061d426797</t>
  </si>
  <si>
    <t>PCC dry, Production at plant, Precipitated Calcium Carbonate (PCC) - dry, uncoated, with a CaCO3 content of 98% or more, a median particle size ranging typically from 1 to 3 µm, ready to be shipped either in bulk or bags. Production at plant., None</t>
  </si>
  <si>
    <t>Electricity Mix, consumption mix, at consumer, AC, 220V | EE | 0d87bcf9</t>
  </si>
  <si>
    <t>0d87bcf9-cbe5-4df9-8715-659f71c6e288</t>
  </si>
  <si>
    <t>Electricity Mix, consumption mix, at consumer, AC, 220V</t>
  </si>
  <si>
    <t>Polypropylene granulate (PP), production mix, at plant | RER | 0dc3d65b</t>
  </si>
  <si>
    <t>0dc3d65b-7ff8-4c92-a694-748fb28070a9</t>
  </si>
  <si>
    <t>Polypropylene granulate (PP), production mix, at plant</t>
  </si>
  <si>
    <t>Process steam from light fuel oil, consumption mix, at plant, heat plant, MJ | HU | 0dded263</t>
  </si>
  <si>
    <t>0dded263-a4ba-4a5b-8aea-2c4844cca498</t>
  </si>
  <si>
    <t>Process steam from light fuel oil, consumption mix, at plant, heat plant, MJ</t>
  </si>
  <si>
    <t>Process steam from natural gas, consumption mix, at plant, heat plant, MJ | AT | 0deb15f0</t>
  </si>
  <si>
    <t>0deb15f0-518a-11dd-ae16-0800200c9a66</t>
  </si>
  <si>
    <t>AT</t>
  </si>
  <si>
    <t>Electricity grid mix 1kV-60kV, consumption mix, at consumer, AC, 1kV - 60kV | SE | 0e1ac4e8</t>
  </si>
  <si>
    <t>0e1ac4e8-8ae8-4b49-ae23-9847ba1137b8</t>
  </si>
  <si>
    <t>Process steam from light fuel oil, consumption mix, at plant, heat plant, MJ | ES | 0f23ccbd</t>
  </si>
  <si>
    <t>0f23ccbd-2c00-4894-ba15-da3957df2098</t>
  </si>
  <si>
    <t>ES</t>
  </si>
  <si>
    <t>Process steam from natural gas 90%, consumption mix, at power plant, heat plant, MJ, 90 % efficiency | PL | 112667bf</t>
  </si>
  <si>
    <t>112667bf-22f3-44fe-b1a8-99e473dfdbc6</t>
  </si>
  <si>
    <t>PL</t>
  </si>
  <si>
    <t>Steel hot rolled coil, production mix, at plant, blast furnace route, thickness 2 to 7 mm, width 600 to 2100 mm | RER | 119e8cc1</t>
  </si>
  <si>
    <t>119e8cc1-0859-45ca-8f63-93a8a518ffd2</t>
  </si>
  <si>
    <t>Steel hot rolled coil, production mix, at plant, blast furnace route, thickness 2 to 7 mm, width 600 to 2100 mm</t>
  </si>
  <si>
    <t>Electricity Mix, consumption mix, at consumer, AC, 1kV - 60kV | NL | 11ab0f24</t>
  </si>
  <si>
    <t>11ab0f24-1ecf-4842-b776-b19afc92333f</t>
  </si>
  <si>
    <t>NL</t>
  </si>
  <si>
    <t>11bceac4-b3d8-4048-8e80-b691ecd2c261</t>
  </si>
  <si>
    <t>Copper wire, consumption mix, at plant, technology mix, cross section 1 mmy</t>
  </si>
  <si>
    <t>EU-15</t>
  </si>
  <si>
    <t>Lead sheet mix, production mix, at producer, technology mix, secondary | EU-27 | 11f67def</t>
  </si>
  <si>
    <t>11f67def-dc2a-4e74-bb4f-885610a9ae9c</t>
  </si>
  <si>
    <t>Lead sheet mix, production mix, at producer, technology mix, secondary</t>
  </si>
  <si>
    <t>Electricity Mix, consumption mix, at consumer, AC, 1kV - 60kV | MT | 122978f4</t>
  </si>
  <si>
    <t>122978f4-0218-4b39-aa09-42d7cb14d4c5</t>
  </si>
  <si>
    <t>MT</t>
  </si>
  <si>
    <t>Electricity grid mix 1kV-60kV, consumption mix, at consumer, AC, 1kV - 60kV | CZ | 122b5032</t>
  </si>
  <si>
    <t>122b5032-1ece-45b3-bfce-69e49a819e22</t>
  </si>
  <si>
    <t>CZ</t>
  </si>
  <si>
    <t>Polyvinylchloride resin (S-PVC), production mix, at plant, suspension polymerisation | RER | 129b8f8d</t>
  </si>
  <si>
    <t>129b8f8d-7667-41bc-91f4-421bfcdfc8c3</t>
  </si>
  <si>
    <t>Polyvinylchloride resin (S-PVC), production mix, at plant, suspension polymerisation</t>
  </si>
  <si>
    <t>Process steam from Heavy fuel oil 90 %, consumption mix, at power plant, heat plant, MJ, 90 % efficiency | DE | 12a29842</t>
  </si>
  <si>
    <t>12a29842-81fb-4694-ac26-64020ff0ae7b</t>
  </si>
  <si>
    <t>DE</t>
  </si>
  <si>
    <t>Copper sheet; technology mix; market mix, at plant; 0,6 mm thickness, Technology and Market Mix for Sheet fabrication representing main European production countries, Market Mix for Copper cathode in Europe (primary and secondary Cu cathode production... | EU-25 | 1323a7e6</t>
  </si>
  <si>
    <t>1323a7e6-7841-47db-8da1-06355432a908</t>
  </si>
  <si>
    <t>Copper sheet; technology mix; market mix, at plant; 0,6 mm thickness, Technology and Market Mix for Sheet fabrication representing main European production countries, Market Mix for Copper cathode in Europe (primary and secondary Cu cathode production...</t>
  </si>
  <si>
    <t>EU-25</t>
  </si>
  <si>
    <t>Process steam from Light fuel oil 90 %, consumption mix, at power plant, heat plant, MJ, 90 % efficiency | AT | 13587de8</t>
  </si>
  <si>
    <t>13587de8-fda4-4637-9568-6634ed1b24c4</t>
  </si>
  <si>
    <t>Lead primary and secondary mix , production mix, at producer, technology mix, primary 46% /  secondary 54% | EU-27 | 137f2286</t>
  </si>
  <si>
    <t>137f2286-e426-4231-b65d-e65503fa6e5c</t>
  </si>
  <si>
    <t>Lead primary and secondary mix , production mix, at producer, technology mix, primary 46% /  secondary 54%</t>
  </si>
  <si>
    <t>Process steam from natural gas 90%, consumption mix, at power plant, heat plant, MJ, 90 % efficiency | GR | 14565ba0</t>
  </si>
  <si>
    <t>14565ba0-86fb-4779-99a9-bbf4d6dc4bfe</t>
  </si>
  <si>
    <t>Copper sheet, consumption mix, at plant, technology mix, 0,6 mm thickness | EU-15 | 14712dc3</t>
  </si>
  <si>
    <t>14712dc3-ca9f-4032-aed2-2e5f449c13cb</t>
  </si>
  <si>
    <t>Copper sheet, consumption mix, at plant, technology mix, 0,6 mm thickness</t>
  </si>
  <si>
    <t>Waste incineration of plastics (Nylon 6, Nylon 66, PAN), at plant, average European waste-to-energy plant, without collection, transport and pre-treatment | EU-27 | 14d74618</t>
  </si>
  <si>
    <t>14d74618-44f7-40d7-8b35-4364e23c76bb</t>
  </si>
  <si>
    <t>Waste incineration of plastics (Nylon 6, Nylon 66, PAN), at plant, average European waste-to-energy plant, without collection, transport and pre-treatment</t>
  </si>
  <si>
    <t>GCC dry, Production at plant, Ground Calcium Carbonate (GCC) - dry, uncoated, with a CaCO3 content of 98% or more, a median particle size ranging typically from 2.5 to 5 µm, ready to be shipped in bulk. Production at plant., None | RER | 14db2998</t>
  </si>
  <si>
    <t>14db2998-ff19-45e6-9951-f5bd9ae8c149</t>
  </si>
  <si>
    <t>GCC dry, Production at plant, Ground Calcium Carbonate (GCC) - dry, uncoated, with a CaCO3 content of 98% or more, a median particle size ranging typically from 2.5 to 5 µm, ready to be shipped in bulk. Production at plant., None</t>
  </si>
  <si>
    <t>Electricity Mix, consumption mix, at consumer, AC, 220V | SI | 155a3c36</t>
  </si>
  <si>
    <t>155a3c36-6185-4a54-bea8-87bcad6727f8</t>
  </si>
  <si>
    <t>Electricity Mix, consumption mix, at consumer, AC, 220V | PL | 1598ea72</t>
  </si>
  <si>
    <t>1598ea72-ae02-42fc-ae87-7dbe90df17ce</t>
  </si>
  <si>
    <t>Process steam from light fuel oil, consumption mix, at plant, heat plant, MJ | FR | 15a3957d</t>
  </si>
  <si>
    <t>15a3957d-ce14-404a-b1f6-792a71edeed0</t>
  </si>
  <si>
    <t>FR</t>
  </si>
  <si>
    <t>Barge, technology mix, 1.228 t pay load capacity | GLO | 16f7c5d9</t>
  </si>
  <si>
    <t>16f7c5d9-e19e-4185-85df-da289bc67f79</t>
  </si>
  <si>
    <t>Process steam from light fuel oil, consumption mix, at plant, heat plant, MJ | DE | 1709667f</t>
  </si>
  <si>
    <t>1709667f-24d8-4eb9-a361-a0c85ac65d85</t>
  </si>
  <si>
    <t>Process steam from Heavy fuel oil 90 %, consumption mix, at power plant, heat plant, MJ, 90 % efficiency | EE | 1917c9a8</t>
  </si>
  <si>
    <t>1917c9a8-fd01-44b5-9b42-4f7b51f57f55</t>
  </si>
  <si>
    <t>Waste water treatment, at waste water treatment plant, domestic waste water according to the Directive 91/271/EEC concerning urban waste water treatment | EU-27 | 19728650</t>
  </si>
  <si>
    <t>19728650-4cf4-11dd-ae16-0800200c9a66</t>
  </si>
  <si>
    <t>Waste water treatment, at waste water treatment plant, domestic waste water according to the Directive 91/271/EEC concerning urban waste water treatment</t>
  </si>
  <si>
    <t>Plane, technology mix, cargo, 68 t payload | GLO | 1a7da06d</t>
  </si>
  <si>
    <t>1a7da06d-e8b7-4ff1-920c-209e9009dbe0</t>
  </si>
  <si>
    <t>Plane, technology mix, cargo, 68 t payload</t>
  </si>
  <si>
    <t>Process steam from heavy fuel oil, consumption mix, at plant, heat plant, MJ | RO | 1cf05b65</t>
  </si>
  <si>
    <t>1cf05b65-43c2-493c-9629-0ab468bc6bf4</t>
  </si>
  <si>
    <t>Process steam from heavy fuel oil, consumption mix, at plant, heat plant, MJ</t>
  </si>
  <si>
    <t>RO</t>
  </si>
  <si>
    <t>Process steam from light fuel oil, consumption mix, at plant, heat plant, MJ | BE | 1d18b022</t>
  </si>
  <si>
    <t>1d18b022-468b-45af-8b99-9fb095a33cc0</t>
  </si>
  <si>
    <t>BE</t>
  </si>
  <si>
    <t>Process steam from light fuel oil, consumption mix, at plant, heat plant, MJ | PT | 1d9ec850</t>
  </si>
  <si>
    <t>1d9ec850-ef1f-498c-9208-acf0a7f02379</t>
  </si>
  <si>
    <t>Electricity Mix, consumption mix, at consumer, AC, 230V | NO | 1e17b418</t>
  </si>
  <si>
    <t>1e17b418-defe-4d75-87ec-9c0d8a398859</t>
  </si>
  <si>
    <t>NO</t>
  </si>
  <si>
    <t>Diesel mix at refinery, production mix, at refinery, from crude oil and bio components, fuel supply, 10 ppm sulphur, 5.75 wt.% bio components | EU-27 | 1ea201ab</t>
  </si>
  <si>
    <t>1ea201ab-eec9-4356-93d8-3a4905ea35cd</t>
  </si>
  <si>
    <t>Diesel mix at refinery, production mix, at refinery, from crude oil and bio components, fuel supply, 10 ppm sulphur, 5.75 wt.% bio components</t>
  </si>
  <si>
    <t>Process steam from light fuel oil, consumption mix, at plant, heat plant, MJ | IE | 1eb2b423</t>
  </si>
  <si>
    <t>1eb2b423-53be-4937-95be-8b4a69b6b9ad</t>
  </si>
  <si>
    <t>IE</t>
  </si>
  <si>
    <t>Process steam from natural gas 90%, consumption mix, at power plant, heat plant, MJ, 90 % efficiency | BG | 1f0bc2c2</t>
  </si>
  <si>
    <t>1f0bc2c2-8adc-42f1-9f75-5ffc27ff3f2b</t>
  </si>
  <si>
    <t>BG</t>
  </si>
  <si>
    <t>Process steam from Heavy fuel oil 90 %, consumption mix, at power plant, heat plant, MJ, 90 % efficiency | CZ | 1f6fcd79</t>
  </si>
  <si>
    <t>1f6fcd79-bf76-4f57-95ac-b70b31167ef5</t>
  </si>
  <si>
    <t>Process steam from Light fuel oil 90 %, consumption mix, at power plant, heat plant, MJ, 90 % efficiency | CZ | 21e40d38</t>
  </si>
  <si>
    <t>21e40d38-6739-4fc0-811f-09b2962e88bd</t>
  </si>
  <si>
    <t>Electricity Mix, consumption mix, at consumer, AC, 125-220V | IT | 22b890c0</t>
  </si>
  <si>
    <t>22b890c0-bd7b-47e4-b3a0-d4010c084cf5</t>
  </si>
  <si>
    <t>Electricity Mix, consumption mix, at consumer, AC, 125-220V</t>
  </si>
  <si>
    <t>IT</t>
  </si>
  <si>
    <t>Process steam from natural gas 90%, consumption mix, at power plant, heat plant, MJ, 90 % efficiency | AT | 24442808</t>
  </si>
  <si>
    <t>24442808-d201-4341-8bfa-f917072a0b9d</t>
  </si>
  <si>
    <t>Diesel, consumption mix, at refinery, from crude oil, 200 ppm sulphur | EU-15 | 244524ed</t>
  </si>
  <si>
    <t>244524ed-7b85-4548-b345-f58dc5cf9dac</t>
  </si>
  <si>
    <t>Diesel, consumption mix, at refinery, from crude oil, 200 ppm sulphur</t>
  </si>
  <si>
    <t>Process steam from Heavy fuel oil 90 %, consumption mix, at power plant, heat plant, MJ, 90 % efficiency | NO | 2551a016</t>
  </si>
  <si>
    <t>2551a016-b83e-4e61-9110-8f59e8f02cc7</t>
  </si>
  <si>
    <t>Electricity grid mix, consumption mix, at consumer, AC, 230V | SE | 25b4f06b</t>
  </si>
  <si>
    <t>25b4f06b-38fa-4b67-b127-ff91027393ae</t>
  </si>
  <si>
    <t>Electricity Mix, consumption mix, at consumer, AC, 240V | CY | 25d4e2b2</t>
  </si>
  <si>
    <t>25d4e2b2-18a7-442f-9d15-40bfcb9f4cb2</t>
  </si>
  <si>
    <t>Electricity Mix, consumption mix, at consumer, AC, 240V</t>
  </si>
  <si>
    <t>Steel rebar, production mix, at plant, blast furnace and electric arc furnace route, | GLO | 268a11fb</t>
  </si>
  <si>
    <t>268a11fb-baf2-4b9e-8867-38bea0e76ef6</t>
  </si>
  <si>
    <t>Steel rebar, production mix, at plant, blast furnace and electric arc furnace route,</t>
  </si>
  <si>
    <t>Process steam from natural gas, consumption mix, at plant, heat plant, MJ | RO | 278579f1</t>
  </si>
  <si>
    <t>278579f1-8f98-423c-adcc-70e0d780d827</t>
  </si>
  <si>
    <t>Electricity grid mix 1kV-60kV, consumption mix, at consumer, AC, 1kV - 60kV | IT | 27cc76aa</t>
  </si>
  <si>
    <t>27cc76aa-c695-4632-a1d7-0d2d23001a0e</t>
  </si>
  <si>
    <t>Plane, technology mix, cargo, 68 t payload | RER | 28b6ad2c</t>
  </si>
  <si>
    <t>28b6ad2c-e13e-4322-a443-771a7e7d16a2</t>
  </si>
  <si>
    <t>Process steam from light fuel oil, consumption mix, at plant, heat plant, MJ | FI | 2a5cb618</t>
  </si>
  <si>
    <t>2a5cb618-62d7-4b8a-a2eb-78c91e1362d2</t>
  </si>
  <si>
    <t>Gypsum plaster (CaSO4 beta hemihydrates), production mix, at plant, technology mix of natural gypsum (45%) and gypsum from flue gas desulphurisation (55%), grinded and purified product | DE | 2abe6224</t>
  </si>
  <si>
    <t>2abe6224-3a58-4804-b6de-c1f249d0621a</t>
  </si>
  <si>
    <t>Gypsum plaster (CaSO4 beta hemihydrates), production mix, at plant, technology mix of natural gypsum (45%) and gypsum from flue gas desulphurisation (55%), grinded and purified product</t>
  </si>
  <si>
    <t>Process steam from natural gas, consumption mix, at plant, heat plant, MJ | PT | 2b47bfb2</t>
  </si>
  <si>
    <t>2b47bfb2-1d7d-4cb7-9abe-f535d4cc72b0</t>
  </si>
  <si>
    <t>2b61a4d6-bd1d-4ea3-828c-fdbdf5fca1f9</t>
  </si>
  <si>
    <t>Spruce wood, production mix, at saw mill, timber, 40% water content</t>
  </si>
  <si>
    <t>Electricity Mix, consumption mix, at consumer, AC, 1kV - 60kV | IE | 2b66a2ac</t>
  </si>
  <si>
    <t>2b66a2ac-f96a-4e91-b187-a45b537cfc96</t>
  </si>
  <si>
    <t>Bentonite granular, sodium activated, Production at plant, 1000 kg of bentonite sodium activated granular with a particle size ranging from 0.5 to 5 mm and a moisture content ranging between 8 and 13%, stored in silo, ready to be shipped in bulk., none | RER | 2b78d6f1</t>
  </si>
  <si>
    <t>2b78d6f1-2d78-4781-9701-3d34e00f2762</t>
  </si>
  <si>
    <t>Bentonite granular, sodium activated, Production at plant, 1000 kg of bentonite sodium activated granular with a particle size ranging from 0.5 to 5 mm and a moisture content ranging between 8 and 13%, stored in silo, ready to be shipped in bulk., none</t>
  </si>
  <si>
    <t>Excavator, technology mix, 500 kW, Mining | GLO | 2dbe076f</t>
  </si>
  <si>
    <t>2dbe076f-4a31-4348-a36a-bedf27f56715</t>
  </si>
  <si>
    <t>Excavator, technology mix, 500 kW, Mining</t>
  </si>
  <si>
    <t>Process steam from light fuel oil, consumption mix, at plant, heat plant, MJ | NO | 2e88e74a</t>
  </si>
  <si>
    <t>2e88e74a-4f7c-42f0-ba85-bfa4233f47f1</t>
  </si>
  <si>
    <t>Process steam from natural gas 90%, consumption mix, at power plant, heat plant, MJ, 90 % efficiency | RO | 2eba79fc</t>
  </si>
  <si>
    <t>2eba79fc-6cac-4e60-bf55-7740b2cdcfe0</t>
  </si>
  <si>
    <t>Process steam from Heavy fuel oil 90 %, consumption mix, at power plant, heat plant, MJ, 90 % efficiency | AT | 31010a02</t>
  </si>
  <si>
    <t>31010a02-56e5-419a-9706-4025c9a81bf2</t>
  </si>
  <si>
    <t>Process steam from heavy fuel oil, consumption mix, at plant, heat plant, MJ | DE | 3175e00f</t>
  </si>
  <si>
    <t>3175e00f-a6d5-46a1-a939-c46ba99343bc</t>
  </si>
  <si>
    <t>Process steam from Heavy fuel oil 90 %, consumption mix, at power plant, heat plant, MJ, 90 % efficiency | LT | 31e37ee3</t>
  </si>
  <si>
    <t>31e37ee3-2c8b-4680-906d-6f2f4488d827</t>
  </si>
  <si>
    <t>LT</t>
  </si>
  <si>
    <t>Process steam from Light fuel oil 90 %, consumption mix, at power plant, heat plant, MJ, 90 % efficiency | DE | 32a54433</t>
  </si>
  <si>
    <t>32a54433-1c03-46ae-91be-78c914feb806</t>
  </si>
  <si>
    <t>Steel hot dip galvanized (ILCD), production mix, at plant, blast furnace route, 1kg, typical thickness between 0.3 - 3 mm. typical width between 600 - 2100 mm. | GLO | 339b2536</t>
  </si>
  <si>
    <t>339b2536-c881-409d-ac71-49ab0d228fe3</t>
  </si>
  <si>
    <t>Steel hot dip galvanized (ILCD), production mix, at plant, blast furnace route, 1kg, typical thickness between 0.3 - 3 mm. typical width between 600 - 2100 mm.</t>
  </si>
  <si>
    <t>Naphtha, consumption mix, at refinery, from crude oil | EU-15 | 34613a4c</t>
  </si>
  <si>
    <t>34613a4c-0e48-41b9-aa04-94c6f25e235a</t>
  </si>
  <si>
    <t>Naphtha, consumption mix, at refinery, from crude oil</t>
  </si>
  <si>
    <t>Electricity Mix, consumption mix, at consumer, AC, 1kV - 60kV | UCTE | 356ce2fc</t>
  </si>
  <si>
    <t>356ce2fc-0df1-469a-9c15-9646b2c1ec2a</t>
  </si>
  <si>
    <t>UCTE</t>
  </si>
  <si>
    <t>Process steam from Heavy fuel oil 90 %, consumption mix, at power plant, heat plant, MJ, 90 % efficiency | FR | 36409607</t>
  </si>
  <si>
    <t>36409607-ae77-4a89-80d4-949da359cf93</t>
  </si>
  <si>
    <t>Process steam from heavy fuel oil, consumption mix, at plant, heat plant, MJ | BG | 36fa5c52</t>
  </si>
  <si>
    <t>36fa5c52-1ada-418d-845f-629c9429552d</t>
  </si>
  <si>
    <t>Polyvinylchloride resin (B-PVC), production mix, at plant, bulk polymerisation | RER | 376c6e88</t>
  </si>
  <si>
    <t>376c6e88-10e2-4acb-b676-6349cd260f3b</t>
  </si>
  <si>
    <t>Polyvinylchloride resin (B-PVC), production mix, at plant, bulk polymerisation</t>
  </si>
  <si>
    <t>Electricity Mix, consumption mix, at consumer, AC, 230V | BE | 383a1240</t>
  </si>
  <si>
    <t>383a1240-40c5-483a-bfae-1dbe2cd63f92</t>
  </si>
  <si>
    <t>Process steam from light fuel oil, consumption mix, at plant, heat plant, MJ | LT | 3858c45e</t>
  </si>
  <si>
    <t>3858c45e-699a-4671-9819-3a8e9fa297b9</t>
  </si>
  <si>
    <t>Compressed air, production mix, 7 bar, low efficiency, high power consumption | GLO | 3945fc44</t>
  </si>
  <si>
    <t>3945fc44-1180-4c6d-bc18-2a37e1a85f80</t>
  </si>
  <si>
    <t>Compressed air, production mix, 7 bar, low efficiency, high power consumption</t>
  </si>
  <si>
    <t>Compressed air, production mix, at plant, 7 bar, high efficiency, low power consumption | EU-27 | 398d9810</t>
  </si>
  <si>
    <t>398d9810-46a2-11dd-ae16-0800200c9a66</t>
  </si>
  <si>
    <t>Compressed air, production mix, at plant, 7 bar, high efficiency, low power consumption</t>
  </si>
  <si>
    <t>Compressed air, production mix, at plant, 10 bar, high efficiency, low power consumption | EU-27 | 398d9811</t>
  </si>
  <si>
    <t>398d9811-46a2-11dd-ae16-0800200c9a66</t>
  </si>
  <si>
    <t>Compressed air, production mix, at plant, 10 bar, high efficiency, low power consumption</t>
  </si>
  <si>
    <t>Compressed air, production mix, at plant, 14 bar, high efficiency, low power consumption | EU-27 | 398d9812</t>
  </si>
  <si>
    <t>398d9812-46a2-11dd-ae16-0800200c9a66</t>
  </si>
  <si>
    <t>Compressed air, production mix, at plant, 14 bar, high efficiency, low power consumption</t>
  </si>
  <si>
    <t>Compressed air, production mix, at plant, 7 bar, low efficiency, high power consumption | EU-27 | 398d9813</t>
  </si>
  <si>
    <t>398d9813-46a2-11dd-ae16-0800200c9a66</t>
  </si>
  <si>
    <t>Compressed air, production mix, at plant, 7 bar, low efficiency, high power consumption</t>
  </si>
  <si>
    <t>Compressed air, production mix, at plant, 10 bar, low efficiency, high power consumption | EU-27 | 398d9814</t>
  </si>
  <si>
    <t>398d9814-46a2-11dd-ae16-0800200c9a66</t>
  </si>
  <si>
    <t>Compressed air, production mix, at plant, 10 bar, low efficiency, high power consumption</t>
  </si>
  <si>
    <t>Compressed air, production mix, at plant, 14 bar, low efficiency, high power consumption | EU-27 | 398d9815</t>
  </si>
  <si>
    <t>398d9815-46a2-11dd-ae16-0800200c9a66</t>
  </si>
  <si>
    <t>Compressed air, production mix, at plant, 14 bar, low efficiency, high power consumption</t>
  </si>
  <si>
    <t>Waste incineration of wood products (OSB, particle board), at plant, average European waste-to-energy plant, without collection, transport and pre-treatment | EU-27 | 39f61d7a</t>
  </si>
  <si>
    <t>39f61d7a-9cea-4e61-b292-50ad6ee05ccc</t>
  </si>
  <si>
    <t>Waste incineration of wood products (OSB, particle board), at plant, average European waste-to-energy plant, without collection, transport and pre-treatment</t>
  </si>
  <si>
    <t>Electricity grid mix, consumption mix, at consumer, AC, 230V | LV | 3bb72bf4</t>
  </si>
  <si>
    <t>3bb72bf4-9357-40c5-a65a-7a9d6d924bad</t>
  </si>
  <si>
    <t>LV</t>
  </si>
  <si>
    <t>Waste incineration of biodegradable waste fraction in municipal solid waste (MSW), at plant, average European waste-to-energy plant, without collection, transport and pre-treatment | EU-27 | 3c0a1214</t>
  </si>
  <si>
    <t>3c0a1214-f4b2-4254-8fca-1d9e6ee9839f</t>
  </si>
  <si>
    <t>Waste incineration of biodegradable waste fraction in municipal solid waste (MSW), at plant, average European waste-to-energy plant, without collection, transport and pre-treatment</t>
  </si>
  <si>
    <t>Electricity Mix, consumption mix, at consumer, AC, 1kV - 60kV | DK | 3d077a81</t>
  </si>
  <si>
    <t>3d077a81-6925-4696-ba03-d711acb24a7c</t>
  </si>
  <si>
    <t>DK</t>
  </si>
  <si>
    <t>Natural Gas, consumption mix, at consumer, from onshore and offshore production incl. pipeline and LNG transport, desulphurised | EU-27 | 3d602e55</t>
  </si>
  <si>
    <t>3d602e55-aaa2-44e3-adb9-40f49eb1a915</t>
  </si>
  <si>
    <t>Natural Gas, consumption mix, at consumer, from onshore and offshore production incl. pipeline and LNG transport, desulphurised</t>
  </si>
  <si>
    <t>Process steam from natural gas, consumption mix, at plant, heat plant, MJ | PL | 3e8cad2f</t>
  </si>
  <si>
    <t>3e8cad2f-a78b-47f5-a741-5b82b97f7a3e</t>
  </si>
  <si>
    <t>Corrugated board boxes, production mix, at plant, technology mix, 16,6 % primary fibre, 83,4 % recycled fibre | EU-25 | 3fc467e6</t>
  </si>
  <si>
    <t>3fc467e6-280d-4de0-a426-a036b6a30c99</t>
  </si>
  <si>
    <t>Corrugated board boxes, production mix, at plant, technology mix, 16,6 % primary fibre, 83,4 % recycled fibre</t>
  </si>
  <si>
    <t>Waste incineration of plastics (Nylon 6 GF 30, Nylon 66 GF 30), at plant, average European waste-to-energy plant, without collection, transport and pre-treatment | EU-27 | 400af2ce</t>
  </si>
  <si>
    <t>400af2ce-8ec3-45a7-b700-8fbc50b16346</t>
  </si>
  <si>
    <t>Waste incineration of plastics (Nylon 6 GF 30, Nylon 66 GF 30), at plant, average European waste-to-energy plant, without collection, transport and pre-treatment</t>
  </si>
  <si>
    <t>Process steam from light fuel oil, consumption mix, at plant, heat plant, MJ | NL | 40557971</t>
  </si>
  <si>
    <t>40557971-68aa-4100-996b-ce090cdce5ad</t>
  </si>
  <si>
    <t>Particle board, production mix, at plant, P5 (V100), 7,8% water content | EU-27 | 407d8151</t>
  </si>
  <si>
    <t>407d8151-839c-46a9-9bd3-c0d2bf8570ea</t>
  </si>
  <si>
    <t>Particle board, production mix, at plant, P5 (V100), 7,8% water content</t>
  </si>
  <si>
    <t>Mining Truck, technology mix, 220 t payload, 1.700 kW | RER | 40d64e6d</t>
  </si>
  <si>
    <t>40d64e6d-a823-471e-b759-339027c0a4f7</t>
  </si>
  <si>
    <t>Mining Truck, technology mix, 220 t payload, 1.700 kW</t>
  </si>
  <si>
    <t>Process steam from natural gas, consumption mix, at plant, heat plant, MJ | NO | 41ef4f48</t>
  </si>
  <si>
    <t>41ef4f48-2a2e-485e-8680-c12dedb89c97</t>
  </si>
  <si>
    <t>Process steam from heavy fuel oil, consumption mix, at plant, heat plant, MJ | EU-27 | 423014a0</t>
  </si>
  <si>
    <t>423014a0-6cd1-47f7-ba78-d1a2d626265c</t>
  </si>
  <si>
    <t>Electricity Mix, consumption mix, at consumer, AC, 220V | LV | 4276d3c9</t>
  </si>
  <si>
    <t>4276d3c9-7b96-4dd7-893c-63e6eb801167</t>
  </si>
  <si>
    <t>Electricity grid mix, consumption mix, at consumer, AC, 230V | IT | 451b20fe</t>
  </si>
  <si>
    <t>451b20fe-d6e9-4a9a-8ece-69b30b790b13</t>
  </si>
  <si>
    <t>Polybutadiene granulate (PB), production mix, at plant | RER | 4575c944</t>
  </si>
  <si>
    <t>4575c944-457d-4825-82ff-17528d28b3ac</t>
  </si>
  <si>
    <t>Polybutadiene granulate (PB), production mix, at plant</t>
  </si>
  <si>
    <t>Ethene (Ethylene), production mix, at plant, from steam cracking, gaseous | EU-27 | 45e41797</t>
  </si>
  <si>
    <t>45e41797-e9a1-4ee9-af29-75ae71d1943f</t>
  </si>
  <si>
    <t>Ethene (Ethylene), production mix, at plant, from steam cracking, gaseous</t>
  </si>
  <si>
    <t>Electricity grid mix 1kV-60kV, consumption mix, at consumer, AC, 1kV - 60kV | LU | 461064b5</t>
  </si>
  <si>
    <t>461064b5-a622-4b6f-b11d-331a6c7ee56f</t>
  </si>
  <si>
    <t>Polyethylene low density granulate (PE-LD), production mix, at plant | RER | 46c09193</t>
  </si>
  <si>
    <t>46c09193-ab51-43ae-957f-e6383b67e73d</t>
  </si>
  <si>
    <t>Polyethylene low density granulate (PE-LD), production mix, at plant</t>
  </si>
  <si>
    <t>Process steam from natural gas 90 %, consumption mix, at power plant, heat plant, MJ, 90 % efficiency | NO | 46cfb376</t>
  </si>
  <si>
    <t>46cfb376-9c9e-451f-91d3-7ce14d60c508</t>
  </si>
  <si>
    <t>Process steam from natural gas 90 %, consumption mix, at power plant, heat plant, MJ, 90 % efficiency</t>
  </si>
  <si>
    <t>Waste incineration of plastics (unspecified) fraction in municipal solid waste (MSW), at plant, average European waste-to-energy plant, without collection, transport and pre-treatment | EU-27 | 46d6bd5b</t>
  </si>
  <si>
    <t>46d6bd5b-16e1-459c-a018-340f33ed2f72</t>
  </si>
  <si>
    <t>Waste incineration of plastics (unspecified) fraction in municipal solid waste (MSW), at plant, average European waste-to-energy plant, without collection, transport and pre-treatment</t>
  </si>
  <si>
    <t>Electricity grid mix, consumption mix, at consumer, AC, 230V | BE | 46d98b14</t>
  </si>
  <si>
    <t>46d98b14-f729-4b2b-a91e-915835e15292</t>
  </si>
  <si>
    <t>Electricity grid mix 1kV-60kV, consumption mix, at consumer, AC, 1kV - 60kV | SK | 474b5ca8</t>
  </si>
  <si>
    <t>474b5ca8-862d-4781-b196-027a0af4e1ea</t>
  </si>
  <si>
    <t>Electricity grid mix, consumption mix, at consumer, AC, 230V | MT | 47e713e0</t>
  </si>
  <si>
    <t>47e713e0-916c-4a8d-b60c-33846509c9e0</t>
  </si>
  <si>
    <t>Electricity grid mix, consumption mix, at consumer, AC, 230V | DE | 4883d4ff</t>
  </si>
  <si>
    <t>4883d4ff-3fe8-4d11-a049-e7057551f647</t>
  </si>
  <si>
    <t>Electricity Mix, consumption mix, at consumer, AC, 230V | DE | 48ab6f40</t>
  </si>
  <si>
    <t>48ab6f40-203b-4895-8742-9bdbef55e494</t>
  </si>
  <si>
    <t>Process steam from natural gas 90 %, consumption mix, at power plant, heat plant, MJ, 90 % efficiency | BE | 48b4bfd8</t>
  </si>
  <si>
    <t>48b4bfd8-b8d2-4a9f-b605-618e1fbdd041</t>
  </si>
  <si>
    <t>Electricity Mix, consumption mix, at consumer, AC, 230V | FI | 48e2653b</t>
  </si>
  <si>
    <t>48e2653b-8ca0-4eb7-97e5-721b0508f514</t>
  </si>
  <si>
    <t>Electricity Mix, consumption mix, at consumer, AC, 220V | IE | 493e9446</t>
  </si>
  <si>
    <t>493e9446-ad0f-437c-a7f8-fa11b3f315ca</t>
  </si>
  <si>
    <t>Electricity Mix, consumption mix, at consumer, AC, 1kV - 60kV | CY | 49ee616a</t>
  </si>
  <si>
    <t>49ee616a-8dad-4c26-bb50-abd04adeedb6</t>
  </si>
  <si>
    <t>Kaolin coarse filler , at plant, Production | EU-27 | 4a1ebe7c</t>
  </si>
  <si>
    <t>4a1ebe7c-6835-4a22-8b2e-3201f1cd32e8</t>
  </si>
  <si>
    <t>Kaolin coarse filler , at plant, Production</t>
  </si>
  <si>
    <t>Nitrogen, production mix, at plant, via cryogenic air separation, gaseous | EU-27 | 4a259aec</t>
  </si>
  <si>
    <t>4a259aec-c66f-4375-aa9e-5b8c745addc0</t>
  </si>
  <si>
    <t>Nitrogen, production mix, at plant, via cryogenic air separation, gaseous</t>
  </si>
  <si>
    <t>Process steam from Heavy fuel oil 90 %, consumption mix, at power plant, heat plant, MJ, 90 % efficiency | NL | 4b380f00</t>
  </si>
  <si>
    <t>4b380f00-cfe7-4a5d-bbfd-59bafa67ecf0</t>
  </si>
  <si>
    <t>Electricity Mix, consumption mix, at consumer, AC, 1kV - 60kV | LV | 4bc5e589</t>
  </si>
  <si>
    <t>4bc5e589-2ac4-488c-b2d5-fc9f745ca504</t>
  </si>
  <si>
    <t>Process steam from Light fuel oil 90 %, consumption mix, at power plant, heat plant, MJ, 90 % efficiency | NO | 4cc9c5be</t>
  </si>
  <si>
    <t>4cc9c5be-f2ef-47ac-a823-8c51c552269d</t>
  </si>
  <si>
    <t>Process steam from natural gas, consumption mix, at plant, heat plant, MJ | NL | 4cffadc4</t>
  </si>
  <si>
    <t>4cffadc4-e2a2-4d34-9087-e54a2cfa4bd0</t>
  </si>
  <si>
    <t>Process steam from Heavy fuel oil 90%, consumption mix, at power plant, heat plant, MJ, 90 % efficiency | EU-27 | 4e06ca2f</t>
  </si>
  <si>
    <t>4e06ca2f-0a8d-42c9-8d50-cf3582372f5b</t>
  </si>
  <si>
    <t>Process steam from Heavy fuel oil 90%, consumption mix, at power plant, heat plant, MJ, 90 % efficiency</t>
  </si>
  <si>
    <t>Waste incineration of municipal solid waste (MSW), at plant, average European waste-to-energy plant, without collection, transport and pre-treatment | EU-27 | 4f035020</t>
  </si>
  <si>
    <t>4f035020-4599-424d-8f48-627b35dd1a7f</t>
  </si>
  <si>
    <t>Waste incineration of municipal solid waste (MSW), at plant, average European waste-to-energy plant, without collection, transport and pre-treatment</t>
  </si>
  <si>
    <t>Heavy fuel oil, consumption mix, at refinery, from crude oil | EU-15 | 50462b0d</t>
  </si>
  <si>
    <t>50462b0d-7d2b-40d4-843e-9857061e3c08</t>
  </si>
  <si>
    <t>Heavy fuel oil, consumption mix, at refinery, from crude oil</t>
  </si>
  <si>
    <t>Copper tube; technology mix; market mix, at plant; diameter 15 mm, 1 mm thickness, Technology and Market Mix for Tube fabrication representing main European production countries, Market Mix for Copper cathode in Europe (primary and secondary Cu cathod... | EU-25 | 5098e9f2</t>
  </si>
  <si>
    <t>5098e9f2-e2f1-44e9-ac4e-62a8864ae2b6</t>
  </si>
  <si>
    <t>Copper tube; technology mix; market mix, at plant; diameter 15 mm, 1 mm thickness, Technology and Market Mix for Tube fabrication representing main European production countries, Market Mix for Copper cathode in Europe (primary and secondary Cu cathod...</t>
  </si>
  <si>
    <t>Graphic Paper,  production mix, at plant,  technology mix,  79% primary fibre, 21% recycled fibre | EU-25 | 50e97735</t>
  </si>
  <si>
    <t>50e97735-1e19-4788-8525-e39de50cd804</t>
  </si>
  <si>
    <t>Graphic Paper,  production mix, at plant,  technology mix,  79% primary fibre, 21% recycled fibre</t>
  </si>
  <si>
    <t>Electricity grid mix, consumption mix, at consumer, AC, 230V | NO | 519483d0</t>
  </si>
  <si>
    <t>519483d0-1f36-48aa-a0d1-65c052055b02</t>
  </si>
  <si>
    <t>Electricity grid mix, consumption mix, at consumer, AC, 230V | CH | 51c6c54a</t>
  </si>
  <si>
    <t>51c6c54a-b0aa-4a40-8dd4-fd381cf28c62</t>
  </si>
  <si>
    <t>Electricity grid mix 1kV-60kV, consumption mix, at consumer, AC, 1kV - 60kV | GB | 51f4fcad</t>
  </si>
  <si>
    <t>51f4fcad-9830-4345-9413-c7e06721885e</t>
  </si>
  <si>
    <t>Light fuel oil at refinery, production mix, at refinery, from crude oil, fuel supply, 0.1 wt.% sulphur | EU-27 | 5214312b</t>
  </si>
  <si>
    <t>5214312b-3726-4af4-b804-2b1556b94d54</t>
  </si>
  <si>
    <t>Light fuel oil at refinery, production mix, at refinery, from crude oil, fuel supply, 0.1 wt.% sulphur</t>
  </si>
  <si>
    <t>Process steam from heavy fuel oil, consumption mix, at plant, heat plant, MJ | DK | 52d8c821</t>
  </si>
  <si>
    <t>52d8c821-a37a-43df-9356-1118105bc396</t>
  </si>
  <si>
    <t>Process steam from Heavy fuel oil 90 %, consumption mix, at power plant, heat plant, MJ, 90 % efficiency | CY | 530e4c8d</t>
  </si>
  <si>
    <t>530e4c8d-ee58-4de2-9a92-fb86b471d676</t>
  </si>
  <si>
    <t>cartonboard sheets; mixed technology; production mix, at plant; 46% primary fibre, 54% recovered fibre (en) | EU-27 | 54025657</t>
  </si>
  <si>
    <t>54025657-ca8e-1cd4-3330-0000339bcc6d</t>
  </si>
  <si>
    <t>cartonboard sheets; mixed technology; production mix, at plant; 46% primary fibre, 54% recovered fibre (en)</t>
  </si>
  <si>
    <t>Process steam from natural gas 90 %, consumption mix, at power plant, heat plant, MJ, 90 % efficiency | DK | 56afe055</t>
  </si>
  <si>
    <t>56afe055-64dd-4cc8-927a-519245b1d5a8</t>
  </si>
  <si>
    <t>Compressed air, production mix, 14 bar, high efficiency, low power consumption | GLO | 56b6349e</t>
  </si>
  <si>
    <t>56b6349e-3c06-47d3-ae0e-24e357659f93</t>
  </si>
  <si>
    <t>Compressed air, production mix, 14 bar, high efficiency, low power consumption</t>
  </si>
  <si>
    <t>Electricity grid mix 1kV-60kV, consumption mix, at consumer, AC, 1kV - 60kV | GR | 56bb1f6d</t>
  </si>
  <si>
    <t>56bb1f6d-e3d1-4a51-a491-7b444d8868c1</t>
  </si>
  <si>
    <t>Process steam from light fuel oil, consumption mix, at plant, heat plant, MJ | RO | 57430805</t>
  </si>
  <si>
    <t>57430805-e82d-4aad-8d4a-25dcef7936f9</t>
  </si>
  <si>
    <t>Kerosene / Jet A1 at refinery, production mix, at refinery, from crude oil, fuel supply, 480 ppm sulphur | EU-27 | 57c9a203</t>
  </si>
  <si>
    <t>57c9a203-78bf-4051-ae19-6d9f9eed6fa6</t>
  </si>
  <si>
    <t>Kerosene / Jet A1 at refinery, production mix, at refinery, from crude oil, fuel supply, 480 ppm sulphur</t>
  </si>
  <si>
    <t>Process steam from heavy fuel oil, consumption mix, at plant, heat plant, MJ | GR | 587f2512</t>
  </si>
  <si>
    <t>587f2512-22e3-4f9c-9c1d-24e823c6f82e</t>
  </si>
  <si>
    <t>Electricity grid mix, consumption mix, at consumer, AC, 230V | CY | 58f31cbd</t>
  </si>
  <si>
    <t>58f31cbd-ddc8-49ef-bae4-32ec8334984b</t>
  </si>
  <si>
    <t>Process steam from light fuel oil, consumption mix, at plant, heat plant, MJ | LV | 5aa1f305</t>
  </si>
  <si>
    <t>5aa1f305-8d35-45bf-8a00-b44506f1fd38</t>
  </si>
  <si>
    <t>Gypsum stone (CaSO4-dihydrate), production mix, at plant, underground and open pit mining, grinded and purified product | DE | 5adbdfe6</t>
  </si>
  <si>
    <t>5adbdfe6-401f-4dfa-a3ec-1699064adb34</t>
  </si>
  <si>
    <t>Gypsum stone (CaSO4-dihydrate), production mix, at plant, underground and open pit mining, grinded and purified product</t>
  </si>
  <si>
    <t>Electricity Mix, consumption mix, at consumer, AC, 1kV - 60kV | PL | 5b0b8cd1</t>
  </si>
  <si>
    <t>5b0b8cd1-d964-4273-bd13-896190ec41cf</t>
  </si>
  <si>
    <t>Compressed air, production mix, 10 bar, low efficiency, high power consumption | GLO | 5c8e669a</t>
  </si>
  <si>
    <t>5c8e669a-68c6-48e3-88b4-bdaa8979cee9</t>
  </si>
  <si>
    <t>Compressed air, production mix, 10 bar, low efficiency, high power consumption</t>
  </si>
  <si>
    <t>Electricity grid mix 1kV-60kV, consumption mix, at consumer, AC, 1kV - 60kV | NL | 5d040fa9</t>
  </si>
  <si>
    <t>5d040fa9-596c-4a94-b6ba-35b59e330699</t>
  </si>
  <si>
    <t>Process steam from natural gas, consumption mix, at plant, heat plant, MJ | LV | 5d604c45</t>
  </si>
  <si>
    <t>5d604c45-a693-4b9a-9455-0e626575964d</t>
  </si>
  <si>
    <t>Process steam from natural gas, consumption mix, at plant, heat plant, MJ | LU | 5ea6beb4</t>
  </si>
  <si>
    <t>5ea6beb4-dc87-4a4e-b502-0a61317c661d</t>
  </si>
  <si>
    <t>Electricity Mix, consumption mix, at consumer, AC, 230V | BG | 5ee552e7</t>
  </si>
  <si>
    <t>5ee552e7-487b-43df-84ec-de7dd7ea704b</t>
  </si>
  <si>
    <t>Gasoline (regular), consumption mix, at refinery, from crude oil, 100 ppm sulphur | EU-15 | 5f62ed77</t>
  </si>
  <si>
    <t>5f62ed77-85d0-4c99-8d2c-be56951d8fb3</t>
  </si>
  <si>
    <t>Gasoline (regular), consumption mix, at refinery, from crude oil, 100 ppm sulphur</t>
  </si>
  <si>
    <t>Process steam from natural gas 90 %, consumption mix, at power plant, heat plant, MJ, 90 % efficiency | CH | 5ffd4c0b</t>
  </si>
  <si>
    <t>5ffd4c0b-2873-47b6-8abb-dd42bfd90ea5</t>
  </si>
  <si>
    <t>Portland cement (CEM I), CEMBUREAU production mix, at plant, CEMBUREAU technology mix, EN 197-1 | RER | 600573dd</t>
  </si>
  <si>
    <t>600573dd-dfa5-44e5-b458-8727e793ffd7</t>
  </si>
  <si>
    <t>Portland cement (CEM I), CEMBUREAU production mix, at plant, CEMBUREAU technology mix, EN 197-1</t>
  </si>
  <si>
    <t>Calcium carbonate &gt; 63 microns, at plant, Production | EU-27 | 6006d87e</t>
  </si>
  <si>
    <t>6006d87e-ccee-42b1-b203-f67c7c0bad97</t>
  </si>
  <si>
    <t>Calcium carbonate &gt; 63 microns, at plant, Production</t>
  </si>
  <si>
    <t>Process steam from Light fuel oil 90 %, consumption mix, at power plant, heat plant, MJ, 90 % efficiency | BG | 60637492</t>
  </si>
  <si>
    <t>60637492-73e3-466f-bb58-4d032a82aeb9</t>
  </si>
  <si>
    <t>Waste incineration of glass/inert material, at plant, average European waste-to-energy plant, without collection, transport and pre-treatment | EU-27 | 60815257</t>
  </si>
  <si>
    <t>60815257-bdaa-495a-a8da-163c5ed2439d</t>
  </si>
  <si>
    <t>Waste incineration of glass/inert material, at plant, average European waste-to-energy plant, without collection, transport and pre-treatment</t>
  </si>
  <si>
    <t>Beverage carton converting, converting mix, at plant, Converting, beverage carton | EU-27 | 6118e7c9</t>
  </si>
  <si>
    <t>6118e7c9-98ce-46f9-a3df-95cc3f8f8b2e</t>
  </si>
  <si>
    <t>Beverage carton converting, converting mix, at plant, Converting, beverage carton</t>
  </si>
  <si>
    <t>Process steam from Light fuel oil 90 %, consumption mix, at power plant, heat plant, MJ, 90 % efficiency | IE | 6179c18b</t>
  </si>
  <si>
    <t>6179c18b-197e-483a-924a-b34f70bbb01e</t>
  </si>
  <si>
    <t>621e64d0-f471-4023-9ebc-a52cd8ee573f</t>
  </si>
  <si>
    <t>Pine wood, production mix, at saw mill, timber, 40% water content</t>
  </si>
  <si>
    <t>Process steam from Heavy fuel oil 90 %, consumption mix, at power plant, heat plant, MJ, 90 % efficiency | DK | 636440aa</t>
  </si>
  <si>
    <t>636440aa-c194-48bc-92fa-035b995d2daa</t>
  </si>
  <si>
    <t>Landfill of plastic waste, at landfill site, landfill including landfill gas utilisation and leachate treatment and without collection, transport and   pre-treatment | EU-27 | 64197300</t>
  </si>
  <si>
    <t>64197300-3307-11dd-bd11-0800200c9a66</t>
  </si>
  <si>
    <t>Landfill of plastic waste, at landfill site, landfill including landfill gas utilisation and leachate treatment and without collection, transport and   pre-treatment</t>
  </si>
  <si>
    <t>Landfill of ferro metals, at landfill site, landfill including leachate treatment and without collection, transport and pre-treatment | EU-27 | 64197301</t>
  </si>
  <si>
    <t>64197301-3307-11dd-bd11-0800200c9a66</t>
  </si>
  <si>
    <t>Landfill of ferro metals, at landfill site, landfill including leachate treatment and without collection, transport and pre-treatment</t>
  </si>
  <si>
    <t>Landfill of untreated wood, at landfill site, landfill including landfill gas utilisation and leachate treatment and without collection, transport and   pre-treatment | EU-27 | 64197302</t>
  </si>
  <si>
    <t>64197302-3307-11dd-bd11-0800200c9a66</t>
  </si>
  <si>
    <t>Landfill of untreated wood, at landfill site, landfill including landfill gas utilisation and leachate treatment and without collection, transport and   pre-treatment</t>
  </si>
  <si>
    <t>Landfill of wood products (OSB, particle board), at landfill site, landfill including landfill gas utilisation and leachate treatment and without collection, transport and   pre-treatment | EU-27 | 64197303</t>
  </si>
  <si>
    <t>64197303-3307-11dd-bd11-0800200c9a66</t>
  </si>
  <si>
    <t>Landfill of wood products (OSB, particle board), at landfill site, landfill including landfill gas utilisation and leachate treatment and without collection, transport and   pre-treatment</t>
  </si>
  <si>
    <t>Landfill of glass/inert waste, at landfill site, landfill including leachate treatment and without collection, transport and pre-treatment | EU-27 | 64197304</t>
  </si>
  <si>
    <t>64197304-3307-11dd-bd11-0800200c9a66</t>
  </si>
  <si>
    <t>Landfill of glass/inert waste, at landfill site, landfill including leachate treatment and without collection, transport and pre-treatment</t>
  </si>
  <si>
    <t>Process steam from natural gas, consumption mix, at plant, heat plant, MJ | LT | 64a67216</t>
  </si>
  <si>
    <t>64a67216-dbc6-4c3b-9246-f2123d92e439</t>
  </si>
  <si>
    <t>Process steam from natural gas, consumption mix, at plant, heat plant, MJ | IT | 65c89403</t>
  </si>
  <si>
    <t>65c89403-5e54-46e5-9152-a8b00b100537</t>
  </si>
  <si>
    <t>Electricity grid mix, consumption mix, at consumer, AC, 220V | IS | 66f41d27</t>
  </si>
  <si>
    <t>66f41d27-8e4f-40f8-bb3c-6be91f3856c5</t>
  </si>
  <si>
    <t>Electricity grid mix, consumption mix, at consumer, AC, 220V</t>
  </si>
  <si>
    <t>IS</t>
  </si>
  <si>
    <t>Polymethyl methacrylate (PMMA) beads, production mix, at plant | RER | 67116372</t>
  </si>
  <si>
    <t>67116372-6605-4c48-a973-e0445b81dd29</t>
  </si>
  <si>
    <t>Polymethyl methacrylate (PMMA) beads, production mix, at plant</t>
  </si>
  <si>
    <t>Process steam from natural gas, consumption mix, at plant, heat plant, MJ | IE | 674dec3e</t>
  </si>
  <si>
    <t>674dec3e-9b5f-4a15-9d61-d0fdb44d01d3</t>
  </si>
  <si>
    <t>Continuous filament glass fibre (direct rovings), at plant | RER | 6756d1f6</t>
  </si>
  <si>
    <t>6756d1f6-8661-452f-badf-bd386a8b947a</t>
  </si>
  <si>
    <t>Continuous filament glass fibre (direct rovings), at plant</t>
  </si>
  <si>
    <t>Process steam from natural gas, consumption mix, at plant, heat plant, MJ | HU | 68839bdf</t>
  </si>
  <si>
    <t>68839bdf-50e2-40dc-a6ec-ce26b770d294</t>
  </si>
  <si>
    <t>Electricity grid mix, consumption mix, at consumer, AC, 230V | PT | 69b8cf2e</t>
  </si>
  <si>
    <t>69b8cf2e-e834-49be-8ed3-69a38f5e8154</t>
  </si>
  <si>
    <t>Process steam from Heavy fuel oil 90 %, consumption mix, at power plant, heat plant, MJ, 90 % efficiency | IT | 6ada8308</t>
  </si>
  <si>
    <t>6ada8308-f4ee-4def-b432-eaac27c205d9</t>
  </si>
  <si>
    <t>Mining Truck, technology mix, 220 t payload, 1.700 kW | GLO | 6b0d5bef</t>
  </si>
  <si>
    <t>6b0d5bef-6e69-4b8c-98e2-31a67fe890bc</t>
  </si>
  <si>
    <t>Electricity grid mix, consumption mix, at consumer, AC, 230V | DK | 6b588e76</t>
  </si>
  <si>
    <t>6b588e76-99dc-4c9a-aed7-a86bdb912d51</t>
  </si>
  <si>
    <t>Compressed air, production mix, 14 bar, low efficiency, high power consumption | GLO | 6c7106ba</t>
  </si>
  <si>
    <t>6c7106ba-1039-42f7-a116-28cd4aa0664e</t>
  </si>
  <si>
    <t>Compressed air, production mix, 14 bar, low efficiency, high power consumption</t>
  </si>
  <si>
    <t>Electricity Mix, consumption mix, at consumer, AC, 1kV - 60kV | FI | 6dd69400</t>
  </si>
  <si>
    <t>6dd69400-9e1d-4376-a6f3-260877acd194</t>
  </si>
  <si>
    <t>Process steam from heavy fuel oil, consumption mix, at plant, heat plant, MJ | LV | 6e806596</t>
  </si>
  <si>
    <t>6e806596-477a-43c1-8716-0967937344ba</t>
  </si>
  <si>
    <t>Polystyrene (general purpose) granulate (GPPS), production mix, at plant, crystal form is pure polystyrene with few additives, used when clarity is required even though it is very   brittle | RER | 6ed5e0f8</t>
  </si>
  <si>
    <t>6ed5e0f8-3914-4533-9beb-c93222bdb2cb</t>
  </si>
  <si>
    <t>Polystyrene (general purpose) granulate (GPPS), production mix, at plant, crystal form is pure polystyrene with few additives, used when clarity is required even though it is very   brittle</t>
  </si>
  <si>
    <t>Container ship ocean, technology mix, 27.500 dwt pay load capacity | GLO | 6efc3814</t>
  </si>
  <si>
    <t>6efc3814-2cf9-4d18-894f-c869c3505341</t>
  </si>
  <si>
    <t>Container ship ocean, technology mix, 27.500 dwt pay load capacity</t>
  </si>
  <si>
    <t>Process steam from Light fuel oil 90 %, consumption mix, at power plant, heat plant, MJ, 90 % efficiency | DK | 6f6ad2b8</t>
  </si>
  <si>
    <t>6f6ad2b8-ef12-46a9-9aaa-41a09cdc87f8</t>
  </si>
  <si>
    <t>Electricity Mix, consumption mix, at consumer, AC, 1kV - 60kV | FR | 6f918155</t>
  </si>
  <si>
    <t>6f918155-8d6f-4d95-aaaa-eba7f2be25e2</t>
  </si>
  <si>
    <t>Process steam from natural gas, consumption mix, at plant, heat plant, MJ | GR | 6fa573e3</t>
  </si>
  <si>
    <t>6fa573e3-1df3-4f48-b4f3-20f3c51d7098</t>
  </si>
  <si>
    <t>Kerosene, consumption mix, at refinery, from crude oil, 700 ppm sulphur | EU-15 | 701f8775</t>
  </si>
  <si>
    <t>701f8775-bd15-4b91-b3d0-43e7ee04044a</t>
  </si>
  <si>
    <t>Kerosene, consumption mix, at refinery, from crude oil, 700 ppm sulphur</t>
  </si>
  <si>
    <t>Process steam from heavy fuel oil, consumption mix, at plant, heat plant, MJ | CY | 702f452f</t>
  </si>
  <si>
    <t>702f452f-5936-4f27-bf39-f9af8923fbe6</t>
  </si>
  <si>
    <t>Electricity grid mix, consumption mix, at consumer, AC, 230V | GR | 7082a8ea</t>
  </si>
  <si>
    <t>7082a8ea-3655-4dcc-b40f-1c1d6f29d6b8</t>
  </si>
  <si>
    <t>Process steam from natural gas 90 %, consumption mix, at power plant, heat plant, MJ, 90 % efficiency | FI | 709d5b4a</t>
  </si>
  <si>
    <t>709d5b4a-d428-4d77-a345-d2f1a7cbcea0</t>
  </si>
  <si>
    <t>Electricity grid mix, consumption mix, at consumer, AC, 230V | SK | 7292f4ed</t>
  </si>
  <si>
    <t>7292f4ed-bb80-4d39-972d-971324b54dbb</t>
  </si>
  <si>
    <t>7311da1a-673f-96b5-66ef-00004409928e</t>
  </si>
  <si>
    <t>corrugated board sheets, production mix, at plant, technology mix, 18% primary fibre, 82 % recycled fibre</t>
  </si>
  <si>
    <t>Process steam from natural gas 90 %, consumption mix, at power plant, heat plant, MJ, 90 % efficiency | NL | 735b28f9</t>
  </si>
  <si>
    <t>735b28f9-593c-4ee2-a284-d9ac6a53798e</t>
  </si>
  <si>
    <t>Nylon 66 granulate (PA 66), production mix, at plant | RER | 744e255f</t>
  </si>
  <si>
    <t>744e255f-3b81-4eed-b2d3-7794353e0efb</t>
  </si>
  <si>
    <t>Nylon 66 granulate (PA 66), production mix, at plant</t>
  </si>
  <si>
    <t>Landfill of municipal solid waste, BE, DK technology mix, at landfill site, landfill including landfill gas utilisation and leachate treatment, without collection, transport and   pre-treatment | EU-27 | 76cda430</t>
  </si>
  <si>
    <t>76cda430-429d-11dd-ae16-0800200c9a66</t>
  </si>
  <si>
    <t>Landfill of municipal solid waste, BE, DK technology mix, at landfill site, landfill including landfill gas utilisation and leachate treatment, without collection, transport and   pre-treatment</t>
  </si>
  <si>
    <t>Acrylonitrile-Butadiene-Styrene granulate (ABS), production mix, at plant | RER | 76d6aaa4</t>
  </si>
  <si>
    <t>76d6aaa4-37e2-40b2-994c-03292b600074</t>
  </si>
  <si>
    <t>Acrylonitrile-Butadiene-Styrene granulate (ABS), production mix, at plant</t>
  </si>
  <si>
    <t>Electricity grid mix, consumption mix, at consumer, AC, 230V | IE | 77189b3a</t>
  </si>
  <si>
    <t>77189b3a-c5d6-41da-982a-aa992d29031f</t>
  </si>
  <si>
    <t>Waste incineration of paper fraction in municipal solid waste (MSW), at plant, average European waste-to-energy plant, without collection, transport and pre-treatment | EU-27 | 77b31dcd</t>
  </si>
  <si>
    <t>77b31dcd-5acd-47bf-8b6e-d9eadfd8b136</t>
  </si>
  <si>
    <t>Waste incineration of paper fraction in municipal solid waste (MSW), at plant, average European waste-to-energy plant, without collection, transport and pre-treatment</t>
  </si>
  <si>
    <t>Process steam from Light fuel oil 90 %, consumption mix, at power plant, heat plant, MJ, 90 % efficiency | PL | 77db0ef8</t>
  </si>
  <si>
    <t>77db0ef8-11a4-44eb-ba7f-88484cc61693</t>
  </si>
  <si>
    <t>Electricity Mix, consumption mix, at consumer, AC, 240V | MT | 792c15e6</t>
  </si>
  <si>
    <t>792c15e6-551f-4917-8975-77ad962d0e3f</t>
  </si>
  <si>
    <t>Electricity Mix, consumption mix, at consumer, AC, 220V | GR | 792de09a</t>
  </si>
  <si>
    <t>792de09a-4a8f-4e97-9305-a5da187411e6</t>
  </si>
  <si>
    <t>Process steam from Light fuel oil 90 %, consumption mix, at power plant, heat plant, MJ, 90 % efficiency | CY | 7a0faa75</t>
  </si>
  <si>
    <t>7a0faa75-e7f1-4333-bf27-f49d629a2553</t>
  </si>
  <si>
    <t>Rail transport, technology mix, electricity driven, cargo | GLO | 7a78c7a6</t>
  </si>
  <si>
    <t>7a78c7a6-c1d3-4909-9c98-f878eacee41b</t>
  </si>
  <si>
    <t>Rail transport, technology mix, electricity driven, cargo</t>
  </si>
  <si>
    <t>Process steam from natural gas, consumption mix, at plant, heat plant, MJ | GB | 7bb738bb</t>
  </si>
  <si>
    <t>7bb738bb-0976-4d80-9ec9-cce59b3b04da</t>
  </si>
  <si>
    <t>Container ship ocean, technology mix, 27.500 dwt pay load capacity | RER | 7d4c6dee</t>
  </si>
  <si>
    <t>7d4c6dee-3d6b-4fbf-a496-2354450a1a14</t>
  </si>
  <si>
    <t>Liquid Packaging Board (LPB) production, production mix, at plant, production, mineral coated LPB (n=4), basis weight: 266 g/m2 | EU-27 | 7d580a76</t>
  </si>
  <si>
    <t>7d580a76-d2a4-46fe-a3a3-c6c8ed585382</t>
  </si>
  <si>
    <t>Liquid Packaging Board (LPB) production, production mix, at plant, production, mineral coated LPB (n=4), basis weight: 266 g/m2</t>
  </si>
  <si>
    <t>Steel hot dip galvanized, including recycling, production mix, at plant, blast furnace route, 1kg, typical thickness between 0.3 - 3 mm. typical width between 600 - 2100 mm. | GLO | 7dcb51ef</t>
  </si>
  <si>
    <t>7dcb51ef-2d85-481c-b943-3b148d9f6500</t>
  </si>
  <si>
    <t>Steel hot dip galvanized, including recycling, production mix, at plant, blast furnace route, 1kg, typical thickness between 0.3 - 3 mm. typical width between 600 - 2100 mm.</t>
  </si>
  <si>
    <t>Electricity grid mix 1kV-60kV, consumption mix, at consumer, AC, 1kV - 60kV | DE | 7e00d0fc</t>
  </si>
  <si>
    <t>7e00d0fc-473a-4c90-89e5-0a586010bf31</t>
  </si>
  <si>
    <t>Waste incineration of textile fraction in municipal solid waste (MSW), at plant, average European waste-to-energy plant, without collection, transport and pre-treatment | EU-27 | 7e2bfb23</t>
  </si>
  <si>
    <t>7e2bfb23-9f75-4976-af0a-1dfef7fb3ec3</t>
  </si>
  <si>
    <t>Waste incineration of textile fraction in municipal solid waste (MSW), at plant, average European waste-to-energy plant, without collection, transport and pre-treatment</t>
  </si>
  <si>
    <t>Natural Gas Mix, consumption mix, at consumer, technology mix, onshore and offshore production incl. pipeline and LNG transprt | EU-27 | 7eb4828f</t>
  </si>
  <si>
    <t>7eb4828f-3191-4a18-ae67-313c2052bea8</t>
  </si>
  <si>
    <t>Natural Gas Mix, consumption mix, at consumer, technology mix, onshore and offshore production incl. pipeline and LNG transprt</t>
  </si>
  <si>
    <t>Process steam from Heavy fuel oil 90 %, consumption mix, at power plant, heat plant, MJ, 90 % efficiency | BG | 7f1a5baf</t>
  </si>
  <si>
    <t>7f1a5baf-5be0-4581-beb9-e8786ed49cb3</t>
  </si>
  <si>
    <t>Electricity Mix, consumption mix, at consumer, AC, 1kV - 60kV | CH | 7f1de1fe</t>
  </si>
  <si>
    <t>7f1de1fe-d47c-4ab8-bfa8-cdb5018ed1f2</t>
  </si>
  <si>
    <t>Electricity Mix, consumption mix, at consumer, AC, 1kV - 60kV | RO | 7f44a654</t>
  </si>
  <si>
    <t>7f44a654-6903-49b8-b155-67f229248cac</t>
  </si>
  <si>
    <t>Copper wire; technology mix; market mix, at plant; cross section 1 mm, Technology and Market Mix for Wire fabrication representing main European production countries, Market Mix for Copper cathode in Europe (primary and secondary Cu cathode production... | EU-25 | 819e60d3</t>
  </si>
  <si>
    <t>819e60d3-2652-47de-9f0b-d3bf8a4e0ea9</t>
  </si>
  <si>
    <t>Copper wire; technology mix; market mix, at plant; cross section 1 mm, Technology and Market Mix for Wire fabrication representing main European production countries, Market Mix for Copper cathode in Europe (primary and secondary Cu cathode production...</t>
  </si>
  <si>
    <t>Process steam from Light fuel oil 90 %, consumption mix, at power plant, heat plant, MJ, 90 % efficiency | GR | 8206f1af</t>
  </si>
  <si>
    <t>8206f1af-4e92-463e-ab31-cf6c7739e2de</t>
  </si>
  <si>
    <t>Electricity Mix, consumption mix, at consumer, AC, &lt; 1kV | UCTE | 83c1f02c</t>
  </si>
  <si>
    <t>83c1f02c-f2ef-4ac4-9a57-ac2172c38d15</t>
  </si>
  <si>
    <t>Electricity grid mix 1kV-60kV, consumption mix, at consumer, AC, 1kV - 60kV | EU-27 | 83d4634c</t>
  </si>
  <si>
    <t>83d4634c-b70f-4bb3-8552-1cca6f6359b4</t>
  </si>
  <si>
    <t>Polyethylene terephthalate (PET) granulate, production mix, at plant, bottle grade | RER | 84854d79</t>
  </si>
  <si>
    <t>84854d79-77da-4794-9d2a-f108f7e91741</t>
  </si>
  <si>
    <t>Polyethylene terephthalate (PET) granulate, production mix, at plant, bottle grade</t>
  </si>
  <si>
    <t>Process steam from Heavy fuel oil 90 %, consumption mix, at power plant, heat plant, MJ, 90 % efficiency | PT | 84b9422e</t>
  </si>
  <si>
    <t>84b9422e-ad0b-4047-a9ef-e441022542af</t>
  </si>
  <si>
    <t>Sodium chloride (NaCl, dissolved), production mix for PVC production, at plant | RER | 84d5e0e5</t>
  </si>
  <si>
    <t>84d5e0e5-cc4b-49ff-a9c4-dc5c2b06351d</t>
  </si>
  <si>
    <t>Sodium chloride (NaCl, dissolved), production mix for PVC production, at plant</t>
  </si>
  <si>
    <t>Process steam from heavy fuel oil, consumption mix, at plant, heat plant, MJ | BE | 84ea1afa</t>
  </si>
  <si>
    <t>84ea1afa-4d04-4c83-8d7e-4fcc82e5f356</t>
  </si>
  <si>
    <t>Waste incineration of ferro metals, at plant, average European waste-to-energy plant, without collection, transport and pre-treatment | EU-27 | 870ed176</t>
  </si>
  <si>
    <t>870ed176-3e13-4baa-8488-bbc3c9579ec5</t>
  </si>
  <si>
    <t>Waste incineration of ferro metals, at plant, average European waste-to-energy plant, without collection, transport and pre-treatment</t>
  </si>
  <si>
    <t>Process steam from Heavy fuel oil 90 %, consumption mix, at power plant, heat plant, MJ, 90 % efficiency | HU | 8842dd51</t>
  </si>
  <si>
    <t>8842dd51-2603-4192-99d3-d734a1967dc8</t>
  </si>
  <si>
    <t>Electricity Mix, consumption mix, at consumer, AC, 1kV - 60kV | GR | 88f51b8a</t>
  </si>
  <si>
    <t>88f51b8a-3e69-4213-9f65-760723f2ca40</t>
  </si>
  <si>
    <t>Pre-cast concrete, production mix, at plant, minimum reinforcement, concrete type C20/25, without consideration of casings | RER | 898618b0</t>
  </si>
  <si>
    <t>898618b0-3306-11dd-bd11-0800200c9a66</t>
  </si>
  <si>
    <t>Pre-cast concrete, production mix, at plant, minimum reinforcement, concrete type C20/25, without consideration of casings</t>
  </si>
  <si>
    <t>Sand 0/2, production mix, at plant, wet and dry quarry, undried | RER | 898618b1</t>
  </si>
  <si>
    <t>898618b1-3306-11dd-bd11-0800200c9a66</t>
  </si>
  <si>
    <t>Sand 0/2, production mix, at plant, wet and dry quarry, undried</t>
  </si>
  <si>
    <t>Gravel 2/32, production mix, at plant, wet and dry quarry, undried | RER | 898618b2</t>
  </si>
  <si>
    <t>898618b2-3306-11dd-bd11-0800200c9a66</t>
  </si>
  <si>
    <t>Gravel 2/32, production mix, at plant, wet and dry quarry, undried</t>
  </si>
  <si>
    <t>Crushed stone 16/32, production mix, at plant, open pit mining, undried | RER | 898618b3</t>
  </si>
  <si>
    <t>898618b3-3306-11dd-bd11-0800200c9a66</t>
  </si>
  <si>
    <t>Crushed stone 16/32, production mix, at plant, open pit mining, undried</t>
  </si>
  <si>
    <t>Aerated concrete block, production mix, at plant, mix of P2 04 and P4 05, average density 433 kg/m3 | RER | 898618b5</t>
  </si>
  <si>
    <t>898618b5-3306-11dd-bd11-0800200c9a66</t>
  </si>
  <si>
    <t>Aerated concrete block, production mix, at plant, mix of P2 04 and P4 05, average density 433 kg/m3</t>
  </si>
  <si>
    <t>898618b6-3306-11dd-bd11-0800200c9a66</t>
  </si>
  <si>
    <t>Lightweight concrete block, production mix, at plant, expanded clay as base material</t>
  </si>
  <si>
    <t>Calcium silicate, production mix, at plant, blocks and elements, density 1400 to 2000 kg/m3 | RER | 898618b7</t>
  </si>
  <si>
    <t>898618b7-3306-11dd-bd11-0800200c9a66</t>
  </si>
  <si>
    <t>Calcium silicate, production mix, at plant, blocks and elements, density 1400 to 2000 kg/m3</t>
  </si>
  <si>
    <t>Glass wool, production mix, at plant, fleece, density between 10 to 100 kg/m3 | RER | 898618b8</t>
  </si>
  <si>
    <t>898618b8-3306-11dd-bd11-0800200c9a66</t>
  </si>
  <si>
    <t>Glass wool, production mix, at plant, fleece, density between 10 to 100 kg/m3</t>
  </si>
  <si>
    <t>Rock wool, production mix, at plant, fleece, density between 30 to 180 kg/m3 | RER | 898618b9</t>
  </si>
  <si>
    <t>898618b9-3306-11dd-bd11-0800200c9a66</t>
  </si>
  <si>
    <t>Rock wool, production mix, at plant, fleece, density between 30 to 180 kg/m3</t>
  </si>
  <si>
    <t>Waste incineration of municipal solid waste (MSW), at plant, average European waste-to-energy plant, without collection, transport and pre-treatment | EU-27 | 898618ba</t>
  </si>
  <si>
    <t>898618ba-3306-11dd-bd11-0800200c9a66</t>
  </si>
  <si>
    <t>Waste incineration of paper fraction in municipal solid waste (MSW), at plant, average European waste-to-energy plant, without collection, transport and pre-treatment | EU-27 | 898618bb</t>
  </si>
  <si>
    <t>898618bb-3306-11dd-bd11-0800200c9a66</t>
  </si>
  <si>
    <t>Waste incineration of biodegradable waste fraction in municipal solid waste (MSW), at plant, average European waste-to-energy plant, without collection, transport and pre-treatment | EU-27 | 898618bc</t>
  </si>
  <si>
    <t>898618bc-3306-11dd-bd11-0800200c9a66</t>
  </si>
  <si>
    <t>Waste incineration of textile fraction in municipal solid waste (MSW), at plant, average European waste-to-energy plant, without collection, transport and pre-treatment | EU-27 | 89863fc0</t>
  </si>
  <si>
    <t>89863fc0-3306-11dd-bd11-0800200c9a66</t>
  </si>
  <si>
    <t>Waste incineration of plastics (unspecified) fraction in municipal solid waste (MSW), at plant, average European waste-to-energy plant, without collection, transport and pre-treatment | EU-27 | 89863fc1</t>
  </si>
  <si>
    <t>89863fc1-3306-11dd-bd11-0800200c9a66</t>
  </si>
  <si>
    <t>Waste incineration of plastics (PE, PP, PS, PB), at plant, average European waste-to-energy plant, without collection, transport and pre-treatment | EU-27 | 89863fc2</t>
  </si>
  <si>
    <t>89863fc2-3306-11dd-bd11-0800200c9a66</t>
  </si>
  <si>
    <t>Waste incineration of plastics (PE, PP, PS, PB), at plant, average European waste-to-energy plant, without collection, transport and pre-treatment</t>
  </si>
  <si>
    <t>Waste incineration of plastics (PET, PMMA, PC), at plant, average European waste-to-energy plant, without collection, transport and pre-treatment | EU-27 | 89863fc3</t>
  </si>
  <si>
    <t>89863fc3-3306-11dd-bd11-0800200c9a66</t>
  </si>
  <si>
    <t>Waste incineration of plastics (PET, PMMA, PC), at plant, average European waste-to-energy plant, without collection, transport and pre-treatment</t>
  </si>
  <si>
    <t>Waste incineration of plastics (Nylon 6, Nylon 66, PAN), at plant, average European waste-to-energy plant, without collection, transport and pre-treatment | EU-27 | 89863fc4</t>
  </si>
  <si>
    <t>89863fc4-3306-11dd-bd11-0800200c9a66</t>
  </si>
  <si>
    <t>Waste incineration of plastics (Nylon 6 GF 30, Nylon 66 GF 30), at plant, average European waste-to-energy plant, without collection, transport and pre-treatment | EU-27 | 89863fc5</t>
  </si>
  <si>
    <t>89863fc5-3306-11dd-bd11-0800200c9a66</t>
  </si>
  <si>
    <t>Waste incineration of plastics (rigid PVC), at plant, average European waste-to-energy plant, without collection, transport and pre-treatment | EU-27 | 89863fc6</t>
  </si>
  <si>
    <t>89863fc6-3306-11dd-bd11-0800200c9a66</t>
  </si>
  <si>
    <t>Waste incineration of plastics (rigid PVC), at plant, average European waste-to-energy plant, without collection, transport and pre-treatment</t>
  </si>
  <si>
    <t>Waste incineration of ferro metals, at plant, average European waste-to-energy plant, without collection, transport and pre-treatment | EU-27 | 89863fc7</t>
  </si>
  <si>
    <t>89863fc7-3306-11dd-bd11-0800200c9a66</t>
  </si>
  <si>
    <t>Waste incineration of glass/inert material, at plant, average European waste-to-energy plant, without collection, transport and pre-treatment | EU-27 | 89863fc8</t>
  </si>
  <si>
    <t>89863fc8-3306-11dd-bd11-0800200c9a66</t>
  </si>
  <si>
    <t>Waste incineration of untreated wood (10,7% water content), at plant, average European waste-to-energy plant, without collection, transport and pre-treatment | EU-27 | 89863fc9</t>
  </si>
  <si>
    <t>89863fc9-3306-11dd-bd11-0800200c9a66</t>
  </si>
  <si>
    <t>Waste incineration of untreated wood (10,7% water content), at plant, average European waste-to-energy plant, without collection, transport and pre-treatment</t>
  </si>
  <si>
    <t>Waste incineration of wood products (OSB, particle board), at plant, average European waste-to-energy plant, without collection, transport and pre-treatment | EU-27 | 89863fca</t>
  </si>
  <si>
    <t>89863fca-3306-11dd-bd11-0800200c9a66</t>
  </si>
  <si>
    <t>Landfill of municipal solid waste, AT, DE, IT, LU, NL, SE, CH technology mix, at landfill site, landfill including landfill gas utilisation and leachate treatment, without collection, transport and   pre-treatment | EU-27 | 89863fcb</t>
  </si>
  <si>
    <t>89863fcb-3306-11dd-bd11-0800200c9a66</t>
  </si>
  <si>
    <t>Landfill of municipal solid waste, AT, DE, IT, LU, NL, SE, CH technology mix, at landfill site, landfill including landfill gas utilisation and leachate treatment, without collection, transport and   pre-treatment</t>
  </si>
  <si>
    <t>Landfill of municipal solid waste, ES, GR, PT technology mix, at landfill site, landfill including landfill gas utilisation and leachate treatment, without collection, transport and   pre-treatment | EU-27 | 89863fcc</t>
  </si>
  <si>
    <t>89863fcc-3306-11dd-bd11-0800200c9a66</t>
  </si>
  <si>
    <t>Landfill of municipal solid waste, ES, GR, PT technology mix, at landfill site, landfill including landfill gas utilisation and leachate treatment, without collection, transport and   pre-treatment</t>
  </si>
  <si>
    <t>Landfill of municipal solid waste, FR, GB, IE, FI, NO technology mix, at landfill site, landfill including landfill gas utilisation and leachate treatment, without collection, transport and   pre-treatment | EU-27 | 89863fcd</t>
  </si>
  <si>
    <t>89863fcd-3306-11dd-bd11-0800200c9a66</t>
  </si>
  <si>
    <t>Landfill of municipal solid waste, FR, GB, IE, FI, NO technology mix, at landfill site, landfill including landfill gas utilisation and leachate treatment, without collection, transport and   pre-treatment</t>
  </si>
  <si>
    <t>Landfill of paper waste, at landfill site, landfill including landfill gas utilisation and leachate treatment and without collection, transport and   pre-treatment | EU-27 | 89863fce</t>
  </si>
  <si>
    <t>89863fce-3306-11dd-bd11-0800200c9a66</t>
  </si>
  <si>
    <t>Landfill of paper waste, at landfill site, landfill including landfill gas utilisation and leachate treatment and without collection, transport and   pre-treatment</t>
  </si>
  <si>
    <t>Landfill of biodegradable waste, at landfill site, landfill including landfill gas utilisation and leachate treatment and without collection, transport and   pre-treatment | EU-27 | 89863fcf</t>
  </si>
  <si>
    <t>89863fcf-3306-11dd-bd11-0800200c9a66</t>
  </si>
  <si>
    <t>Landfill of biodegradable waste, at landfill site, landfill including landfill gas utilisation and leachate treatment and without collection, transport and   pre-treatment</t>
  </si>
  <si>
    <t>Landfill of textiles, at landfill site, landfill including landfill gas utilisation and leachate treatment and without collection, transport and   pre-treatment | EU-27 | 89863fd0</t>
  </si>
  <si>
    <t>89863fd0-3306-11dd-bd11-0800200c9a66</t>
  </si>
  <si>
    <t>Landfill of textiles, at landfill site, landfill including landfill gas utilisation and leachate treatment and without collection, transport and   pre-treatment</t>
  </si>
  <si>
    <t>Process steam from heavy fuel oil, consumption mix, at plant, heat plant, MJ | FI | 8aaae512</t>
  </si>
  <si>
    <t>8aaae512-4eee-43be-b0ca-48589ca0b4fa</t>
  </si>
  <si>
    <t>Process steam from heavy fuel oil, consumption mix, at plant, heat plant, MJ | NL | 8af3c6cb</t>
  </si>
  <si>
    <t>8af3c6cb-51bd-436b-8f49-2d8223cb3089</t>
  </si>
  <si>
    <t>Electricity grid mix 1kV-60kV, consumption mix, at consumer, AC, 1kV - 60kV | PL | 8afa7a0b</t>
  </si>
  <si>
    <t>8afa7a0b-e347-4de6-be55-5924ff61c03d</t>
  </si>
  <si>
    <t>Gypsum plaster (CaSO4 alpha hemihydrates), production mix, at plant, via calcination of calcium sulphate dihydrate, grinded and purified product | DE | 8b190559</t>
  </si>
  <si>
    <t>8b190559-3845-4ba8-a9a6-77ca998b38b1</t>
  </si>
  <si>
    <t>Gypsum plaster (CaSO4 alpha hemihydrates), production mix, at plant, via calcination of calcium sulphate dihydrate, grinded and purified product</t>
  </si>
  <si>
    <t>Process steam from heavy fuel oil, consumption mix, at plant, heat plant, MJ | LT | 8be5a4bb</t>
  </si>
  <si>
    <t>8be5a4bb-2a5d-41a7-88e0-700a2424e906</t>
  </si>
  <si>
    <t>Process steam from light fuel oil, consumption mix, at plant, heat plant, MJ | EU-27 | 8d84ad61</t>
  </si>
  <si>
    <t>8d84ad61-928c-4be3-92b3-82e57da1ee51</t>
  </si>
  <si>
    <t>Process steam from Heavy fuel oil 90 %, consumption mix, at power plant, heat plant, MJ, 90 % efficiency | RO | 8e353488</t>
  </si>
  <si>
    <t>8e353488-37db-4973-b2bd-857338193063</t>
  </si>
  <si>
    <t>Electricity grid mix, consumption mix, at consumer, AC, 230V | LT | 8f3cf12d</t>
  </si>
  <si>
    <t>8f3cf12d-1b4f-468e-ab0e-f1a35412b199</t>
  </si>
  <si>
    <t>Process steam from Heavy fuel oil 90 %, consumption mix, at power plant, heat plant, MJ, 90 % efficiency | GB | 8f9131e5</t>
  </si>
  <si>
    <t>8f9131e5-909b-4481-8b28-703056976a71</t>
  </si>
  <si>
    <t>Pine log with bark, production mix entry to saw mill, at plant, refostered managed forest, 44% water content | DE | 8fd15266</t>
  </si>
  <si>
    <t>8fd15266-4930-4a33-b9c2-e8698923132d</t>
  </si>
  <si>
    <t>Pine log with bark, production mix entry to saw mill, at plant, refostered managed forest, 44% water content</t>
  </si>
  <si>
    <t>Process steam from natural gas 90 %, consumption mix, at power plant, heat plant, MJ, 90 % efficiency | IT | 90568196</t>
  </si>
  <si>
    <t>90568196-9e1b-4eb4-8033-068c9351adea</t>
  </si>
  <si>
    <t>Electricity grid mix 1kV-60kV, consumption mix, at consumer, AC, 1kV - 60kV | FR | 905c6c3a</t>
  </si>
  <si>
    <t>905c6c3a-2a45-4568-ab2f-95fe1c7b4526</t>
  </si>
  <si>
    <t>Process steam from Heavy fuel oil 90 %, consumption mix, at power plant, heat plant, MJ, 90 % efficiency | FI | 90681af1</t>
  </si>
  <si>
    <t>90681af1-335d-4b2c-8a18-446f79a35b25</t>
  </si>
  <si>
    <t>Light fuel oil, consumption mix, at refinery, from crude oil, 2000 ppm sulphur | EU-15 | 909c9a65</t>
  </si>
  <si>
    <t>909c9a65-3b16-4923-9c91-fe585ca9d194</t>
  </si>
  <si>
    <t>Light fuel oil, consumption mix, at refinery, from crude oil, 2000 ppm sulphur</t>
  </si>
  <si>
    <t>Electricity grid mix 1kV-60kV, consumption mix, at consumer, AC, 1kV - 60kV | RO | 90d398a8</t>
  </si>
  <si>
    <t>90d398a8-7869-4dd0-8248-8e92129feea4</t>
  </si>
  <si>
    <t>Process steam from natural gas 90%, consumption mix, at power plant, heat plant, MJ, 90 % efficiency | EU-27 | 90fd9728</t>
  </si>
  <si>
    <t>90fd9728-e56b-4a82-b631-7d32572036f9</t>
  </si>
  <si>
    <t>Process Steam from Light fuel oil 90 %, consumption mix, at power plant, heat plant, MJ, 90 % efficiency | SE | 915e5c5e</t>
  </si>
  <si>
    <t>915e5c5e-8e4b-4990-bee9-038293fd9d60</t>
  </si>
  <si>
    <t>Process Steam from Light fuel oil 90 %, consumption mix, at power plant, heat plant, MJ, 90 % efficiency</t>
  </si>
  <si>
    <t>Electricity grid mix 1kV-60kV, consumption mix, at consumer, AC, 1kV - 60kV | CH | 91923998</t>
  </si>
  <si>
    <t>91923998-4b7d-4822-b68e-2c11939ce912</t>
  </si>
  <si>
    <t>Process steam from heavy fuel oil, consumption mix, at plant, heat plant, MJ | IT | 933a1490</t>
  </si>
  <si>
    <t>933a1490-7356-40c7-bcfb-800c6c4dcb79</t>
  </si>
  <si>
    <t>Chlorine, production mix for PVC production, at plant | RER | 945256f7</t>
  </si>
  <si>
    <t>945256f7-e041-46c8-b3bb-0d447d4b398b</t>
  </si>
  <si>
    <t>Chlorine, production mix for PVC production, at plant</t>
  </si>
  <si>
    <t>Process steam from light fuel oil, consumption mix, at plant, heat plant, MJ | CZ | 952ccd7f</t>
  </si>
  <si>
    <t>952ccd7f-dc94-4f84-b2cf-007ef682f3f6</t>
  </si>
  <si>
    <t>Electricity from wind power, production mix, at power plant, AC, &lt;1kV | RER | 961e7883</t>
  </si>
  <si>
    <t>961e7883-e692-4560-917f-a6a690a3fb6f</t>
  </si>
  <si>
    <t>Electricity from wind power, production mix, at power plant, AC, &lt;1kV</t>
  </si>
  <si>
    <t>Waste incineration of plastics (rigid PVC), at plant, average European waste-to-energy plant, without collection, transport and pre-treatment | EU-27 | 962fee73</t>
  </si>
  <si>
    <t>962fee73-e692-4ae2-812d-ffac7edce7ba</t>
  </si>
  <si>
    <t>Electricity grid mix 1kV-60kV, consumption mix, at consumer, AC, 1kV - 60kV | ES | 964c0681</t>
  </si>
  <si>
    <t>964c0681-d96b-4acb-ba0b-645c00968e84</t>
  </si>
  <si>
    <t>Electricity grid mix 1kV-60kV, consumption mix, at consumer, AC, 1kV - 60kV | PT | 9810b455</t>
  </si>
  <si>
    <t>9810b455-d6be-49a7-9370-3c5d247a0e0f</t>
  </si>
  <si>
    <t>Process steam from heavy fuel oil, consumption mix, at plant, heat plant, MJ | EE | 98289d8c</t>
  </si>
  <si>
    <t>98289d8c-cbfb-438a-978a-598b1357e0f4</t>
  </si>
  <si>
    <t>Process steam from natural gas, consumption mix, at plant, heat plant, MJ | FR | 986c3234</t>
  </si>
  <si>
    <t>986c3234-9ed9-46c3-9b71-abe9f10c77a6</t>
  </si>
  <si>
    <t>Process steam from natural gas 90 %, consumption mix, at power plant, heat plant, MJ, 90 % efficiency | LU | 98a55c0e</t>
  </si>
  <si>
    <t>98a55c0e-2196-4fae-8e8e-283696169beb</t>
  </si>
  <si>
    <t>Electricity from hydroelectric power plants, production mix, at power plant, AC, &lt; 1kV | RER | 99aa831c</t>
  </si>
  <si>
    <t>99aa831c-4c28-438f-a87a-82382f5ef5df</t>
  </si>
  <si>
    <t>Electricity from hydroelectric power plants, production mix, at power plant, AC, &lt; 1kV</t>
  </si>
  <si>
    <t>Process steam from Light fuel oil 90 %, consumption mix, at power plant, heat plant, MJ, 90 % efficiency | NL | 9a97696f</t>
  </si>
  <si>
    <t>9a97696f-2ad0-4f29-8adc-774f42a91056</t>
  </si>
  <si>
    <t>Steel sections, including recycling, production mix, at plant, blast furnace route / electric arc furnace route, 1kg | GLO | 9c0c2f04</t>
  </si>
  <si>
    <t>9c0c2f04-fd6a-4d3c-950c-f9dead3639fe</t>
  </si>
  <si>
    <t>Steel sections, including recycling, production mix, at plant, blast furnace route / electric arc furnace route, 1kg</t>
  </si>
  <si>
    <t>Waste incineration of plastics (PET, PMMA, PC), at plant, average European waste-to-energy plant, without collection, transport and pre-treatment | EU-27 | 9c0cf135</t>
  </si>
  <si>
    <t>9c0cf135-02aa-46a1-ae22-dfa2683c9bd8</t>
  </si>
  <si>
    <t>Electricity Mix, consumption mix, at consumer, AC, 1kV - 60kV | LT | 9c9dd298</t>
  </si>
  <si>
    <t>9c9dd298-4ea5-422e-a6d0-73cd868252ba</t>
  </si>
  <si>
    <t>Rail transport, technology mix, electricity driven, cargo | RER | 9d66aabb</t>
  </si>
  <si>
    <t>9d66aabb-906f-45f6-b3f3-6d002cae096d</t>
  </si>
  <si>
    <t>Process steam from Light fuel oil 90 %, consumption mix, at power plant, heat plant, MJ, 90 % efficiency | SI | 9e5c4940</t>
  </si>
  <si>
    <t>9e5c4940-78b7-48ed-904e-a2482d0c1ffe</t>
  </si>
  <si>
    <t>Excavator, technology mix, 100 kW, Construction | GLO | 9e6d3b0e</t>
  </si>
  <si>
    <t>9e6d3b0e-cb47-4df3-969b-f23a75a0ae42</t>
  </si>
  <si>
    <t>Excavator, technology mix, 100 kW, Construction</t>
  </si>
  <si>
    <t>Electricity grid mix 1kV-60kV, consumption mix, at consumer, AC, 1kV - 60kV | DK | 9ef365e3</t>
  </si>
  <si>
    <t>9ef365e3-abb5-4ce5-a36e-96b521ceaeb2</t>
  </si>
  <si>
    <t>Process steam from Light fuel oil 90 %, consumption mix, at power plant, heat plant, MJ, 90 % efficiency | FI | 9fd568ff</t>
  </si>
  <si>
    <t>9fd568ff-c202-4bf5-b341-4f327829ad15</t>
  </si>
  <si>
    <t>Process steam from natural gas, consumption mix, at plant, heat plant, MJ | FI | a0e9cd53</t>
  </si>
  <si>
    <t>a0e9cd53-883f-403b-91bf-37ed9861f6e5</t>
  </si>
  <si>
    <t>Electricity Mix, consumption mix, at consumer, AC, 1kV - 60kV | DE | a1388758</t>
  </si>
  <si>
    <t>a1388758-0402-40c4-976b-6a805c8e46e0</t>
  </si>
  <si>
    <t>Copper tube, consumption mix, at plant, technology mix, diameter 15 mm, 1 mm thickness | EU-15 | a1baa4f2</t>
  </si>
  <si>
    <t>a1baa4f2-50d3-44a1-b806-465c3d9ef1a7</t>
  </si>
  <si>
    <t>Copper tube, consumption mix, at plant, technology mix, diameter 15 mm, 1 mm thickness</t>
  </si>
  <si>
    <t>Electricity from hydro power, production mix, at power plant, AC, 230V | RER | a23ee124</t>
  </si>
  <si>
    <t>a23ee124-6076-47c7-b8c3-808fab198c08</t>
  </si>
  <si>
    <t>Electricity from hydro power, production mix, at power plant, AC, 230V</t>
  </si>
  <si>
    <t>Bentonite powder, sodium activated, Production at plant, 1000 kg of bentonite  sodium activated powder with particle sizes below 74 µm and a moisture content ranging between 8 and 12%, stored in silo, ready to be shipped in bulk., None | RER | a2eaa86a</t>
  </si>
  <si>
    <t>a2eaa86a-57cd-4f78-9e5a-9bc44458f6b0</t>
  </si>
  <si>
    <t>Bentonite powder, sodium activated, Production at plant, 1000 kg of bentonite  sodium activated powder with particle sizes below 74 µm and a moisture content ranging between 8 and 12%, stored in silo, ready to be shipped in bulk., None</t>
  </si>
  <si>
    <t>Process steam from light fuel oil, consumption mix, at plant, heat plant, MJ | PL | a383f642</t>
  </si>
  <si>
    <t>a383f642-4951-4307-b412-f4bca15f1058</t>
  </si>
  <si>
    <t>Electricity grid mix 1kV-60kV, consumption mix, at consumer, AC, 1kV - 60kV | HU | a4545093</t>
  </si>
  <si>
    <t>a4545093-a3a1-4363-837f-1e196d53cbdd</t>
  </si>
  <si>
    <t>Nylon 6 glass filled (PA 6 GF), production mix, at plant | RER | a494f691</t>
  </si>
  <si>
    <t>a494f691-2070-4796-b002-474878345dce</t>
  </si>
  <si>
    <t>Nylon 6 glass filled (PA 6 GF), production mix, at plant</t>
  </si>
  <si>
    <t>Process steam from natural gas, consumption mix, at plant, heat plant, MJ | ES | a5864d27</t>
  </si>
  <si>
    <t>a5864d27-3ac8-4843-9726-86ce78d9934d</t>
  </si>
  <si>
    <t>Process steam from Light fuel oil 90 %, consumption mix, at power plant, heat plant, MJ, 90 % efficiency | ES | a725becd</t>
  </si>
  <si>
    <t>a725becd-b2a9-4b0a-a88f-d6ab1a5e4659</t>
  </si>
  <si>
    <t>Steel tinplate without EoL recycling  (collection year 2012/2013), European, production mix, at plant, blast furnace route, 1kg, typical thickness between 0.13 - 0.49 mm. typical width between 600 - 1100 mm. | RER | a83ee9ac</t>
  </si>
  <si>
    <t>a83ee9ac-e392-4ef8-b046-8d88c23a4187</t>
  </si>
  <si>
    <t>Steel tinplate without EoL recycling  (collection year 2012/2013), European, production mix, at plant, blast furnace route, 1kg, typical thickness between 0.13 - 0.49 mm. typical width between 600 - 1100 mm.</t>
  </si>
  <si>
    <t>Process steam from natural gas, consumption mix, at plant, heat plant, MJ | EE | a86dd154</t>
  </si>
  <si>
    <t>a86dd154-849e-41c0-b117-8f7e3dd57a6e</t>
  </si>
  <si>
    <t>Aerated concrete block, production mix, at plant, type P4 05 reinforced, average density 485 kg/m3 | RER | a8b2c610</t>
  </si>
  <si>
    <t>a8b2c610-429d-11dd-ae16-0800200c9a66</t>
  </si>
  <si>
    <t>Aerated concrete block, production mix, at plant, type P4 05 reinforced, average density 485 kg/m3</t>
  </si>
  <si>
    <t>Electricity Mix, consumption mix, at consumer, AC, 1kV - 60kV | SI | a8db2e01</t>
  </si>
  <si>
    <t>a8db2e01-c0c5-4ad4-bd4d-55496ce0a60a</t>
  </si>
  <si>
    <t>Electricity Mix, consumption mix, at consumer, AC, 1kV - 60kV | BG | a8f340cd</t>
  </si>
  <si>
    <t>a8f340cd-22fb-4466-ba73-ce7adf046a91</t>
  </si>
  <si>
    <t>Compressed air, production mix, 10 bar, high efficiency, low power consumption | GLO | abde7f80</t>
  </si>
  <si>
    <t>abde7f80-2c33-48e2-8a66-4084c7dd0384</t>
  </si>
  <si>
    <t>Compressed air, production mix, 10 bar, high efficiency, low power consumption</t>
  </si>
  <si>
    <t>Process steam from natural gas, consumption mix, at plant, heat plant, MJ | DK | ac96ecc2</t>
  </si>
  <si>
    <t>ac96ecc2-0be5-4176-a985-fe2c77a10090</t>
  </si>
  <si>
    <t>Process steam from Light fuel oil 90 %, consumption mix, at power plant, heat plant, MJ, 90 % efficiency | IT | aca0b443</t>
  </si>
  <si>
    <t>aca0b443-7e0e-4f0e-9d1e-6af6da884a36</t>
  </si>
  <si>
    <t>Electricity Mix, consumption mix, at consumer, AC, 1kV - 60kV | LU | acb2802d</t>
  </si>
  <si>
    <t>acb2802d-9569-429e-a80a-3a3023806923</t>
  </si>
  <si>
    <t>Polycarbonate granulate (PC), production mix, at plant | RER | acf81ba2</t>
  </si>
  <si>
    <t>acf81ba2-1ebb-4150-9b26-06d8e2c6be10</t>
  </si>
  <si>
    <t>Polycarbonate granulate (PC), production mix, at plant</t>
  </si>
  <si>
    <t>Electricity grid mix, consumption mix, at consumer, AC, 230V | GB | add1fa15</t>
  </si>
  <si>
    <t>add1fa15-cb5f-4ce8-99d3-69ee463553e0</t>
  </si>
  <si>
    <t>Process steam from natural gas, consumption mix, at plant, heat plant, MJ | DE | ae4d0105</t>
  </si>
  <si>
    <t>ae4d0105-cbf1-4284-9b70-d898bd84a28e</t>
  </si>
  <si>
    <t>High impact polystyrene granulate (HIPS), production mix, at plant | RER | aed8d428</t>
  </si>
  <si>
    <t>aed8d428-25bc-4b69-8722-d3e26975dc5b</t>
  </si>
  <si>
    <t>High impact polystyrene granulate (HIPS), production mix, at plant</t>
  </si>
  <si>
    <t>Electricity grid mix, consumption mix, at consumer, AC, 230V | EE | af9ff0aa</t>
  </si>
  <si>
    <t>af9ff0aa-465e-4ccd-9973-39bb3ae17be2</t>
  </si>
  <si>
    <t>Steel hot rolled coil, including recycling, production mix, at plant, blast furnace route, 1kg, typical thickness between 2 - 7 mm. typical width between 600 - 2100 mm | GLO | b0b413a1</t>
  </si>
  <si>
    <t>b0b413a1-2a7d-4cb5-a108-bfd7b37502e4</t>
  </si>
  <si>
    <t>Steel hot rolled coil, including recycling, production mix, at plant, blast furnace route, 1kg, typical thickness between 2 - 7 mm. typical width between 600 - 2100 mm</t>
  </si>
  <si>
    <t>Continuous filament glass fibre (dry chopped strands), at plant | RER | b1661cc6</t>
  </si>
  <si>
    <t>b1661cc6-b2f5-46ae-8ce0-f1d33ac7e1af</t>
  </si>
  <si>
    <t>Continuous filament glass fibre (dry chopped strands), at plant</t>
  </si>
  <si>
    <t>Process steam from natural gas, consumption mix, at plant, heat plant, MJ | CZ | b230247d</t>
  </si>
  <si>
    <t>b230247d-6929-460c-a209-e41f8a072518</t>
  </si>
  <si>
    <t>Electricity Mix, consumption mix, at consumer, AC, 220V | CZ | b255d9fc</t>
  </si>
  <si>
    <t>b255d9fc-82ea-4f5c-acf2-30e13df2c86a</t>
  </si>
  <si>
    <t>Process steam from natural gas 90%, consumption mix, at power plant, heat plant, MJ, 90 % efficiency | IE | b365c16e</t>
  </si>
  <si>
    <t>b365c16e-d919-4d54-ac04-aee9563e45b9</t>
  </si>
  <si>
    <t>Process steam from Heavy fuel oil 90 %, consumption mix, at power plant, heat plant, MJ, 90 % efficiency | IE | b41e0880</t>
  </si>
  <si>
    <t>b41e0880-1264-47a1-ae64-c2363a51a27f</t>
  </si>
  <si>
    <t>Process steam from natural gas, consumption mix, at plant, heat plant, MJ | CH | b4404340</t>
  </si>
  <si>
    <t>b4404340-352a-46c1-a52e-ad6b40ee742a</t>
  </si>
  <si>
    <t>Articulated lorry transport, Euro 0, 1, 2, 3, 4 mix, 40 t total weight, 27 t max payload | RER | b444f4d0</t>
  </si>
  <si>
    <t>b444f4d0-3393-11dd-bd11-0800200c9a66</t>
  </si>
  <si>
    <t>Articulated lorry transport, Euro 0, 1, 2, 3, 4 mix, 40 t total weight, 27 t max payload</t>
  </si>
  <si>
    <t>Articulated lorry transport, Euro 0, 1, 2, 3, 4 mix, 40 t total weight, 27 t max payload | RER | b444f4d1</t>
  </si>
  <si>
    <t>b444f4d1-3393-11dd-bd11-0800200c9a66</t>
  </si>
  <si>
    <t>Lorry transport, Euro 0, 1, 2, 3, 4 mix, 22 t total weight, 17,3 t max payload | RER | b444f4d2</t>
  </si>
  <si>
    <t>b444f4d2-3393-11dd-bd11-0800200c9a66</t>
  </si>
  <si>
    <t>Lorry transport, Euro 0, 1, 2, 3, 4 mix, 22 t total weight, 17,3 t max payload</t>
  </si>
  <si>
    <t>Lorry transport, Euro 0, 1, 2, 3, 4 mix, 22 t total weight, 17,3t max payload | RER | b444f4d3</t>
  </si>
  <si>
    <t>b444f4d3-3393-11dd-bd11-0800200c9a66</t>
  </si>
  <si>
    <t>Lorry transport, Euro 0, 1, 2, 3, 4 mix, 22 t total weight, 17,3t max payload</t>
  </si>
  <si>
    <t>Small lorry transport, Euro 0, 1, 2, 3, 4 mix, 7,5 t total weight, 3,3 t max payload | RER | b444f4d4</t>
  </si>
  <si>
    <t>b444f4d4-3393-11dd-bd11-0800200c9a66</t>
  </si>
  <si>
    <t>Small lorry transport, Euro 0, 1, 2, 3, 4 mix, 7,5 t total weight, 3,3 t max payload</t>
  </si>
  <si>
    <t>Small lorry transport, Euro 0, 1, 2, 3, 4 mix, 7,5 t total weight, 3,3 t max payload | RER | b4451be0</t>
  </si>
  <si>
    <t>b4451be0-3393-11dd-bd11-0800200c9a66</t>
  </si>
  <si>
    <t>Process steam from light fuel oil, consumption mix, at plant, heat plant, MJ | GB | b501b6bf</t>
  </si>
  <si>
    <t>b501b6bf-07c4-4d87-8857-dae693f3f02d</t>
  </si>
  <si>
    <t>Process steam from natural gas, consumption mix, at plant, heat plant, MJ | BG | b55fb775</t>
  </si>
  <si>
    <t>b55fb775-82ac-4947-ad48-a342d1d8cd45</t>
  </si>
  <si>
    <t>Electricity Mix, consumption mix, at consumer, AC, 1kV - 60kV | SE | b5a4b8f5</t>
  </si>
  <si>
    <t>b5a4b8f5-7105-49d5-a36e-799bf629a650</t>
  </si>
  <si>
    <t>Electricity grid mix 1kV-60kV, consumption mix, at consumer, AC, 1kV - 60kV | LT | b65edef6</t>
  </si>
  <si>
    <t>b65edef6-c33e-46dd-a953-6a18bbf88b32</t>
  </si>
  <si>
    <t>Electricity Mix, consumption mix, at consumer, AC, 1kV - 60kV | IS | b69dff2a</t>
  </si>
  <si>
    <t>b69dff2a-16cb-4eb0-beeb-bdca20b60f00</t>
  </si>
  <si>
    <t>Electricity grid mix, consumption mix, at consumer, AC, 230V | PL | b7021ebb</t>
  </si>
  <si>
    <t>b7021ebb-cd48-42ee-9efe-7312f539ec63</t>
  </si>
  <si>
    <t>Very fine milled silica sand d50 = 20 micrometer, at plant, Production, median diameter of silica sand grains is 20 micrometers | EU-27 | b81d1e8f</t>
  </si>
  <si>
    <t>b81d1e8f-5a19-483a-8077-4799839ecf26</t>
  </si>
  <si>
    <t>Very fine milled silica sand d50 = 20 micrometer, at plant, Production, median diameter of silica sand grains is 20 micrometers</t>
  </si>
  <si>
    <t>Process steam from natural gas, consumption mix, at plant, heat plant, MJ | BE | b82b7e54</t>
  </si>
  <si>
    <t>b82b7e54-9f94-4dee-b25e-54cccc0a4103</t>
  </si>
  <si>
    <t>Process steam from Light fuel oil 90 %, consumption mix, at power plant, heat plant, MJ, 90 % efficiency | SK | b8419600</t>
  </si>
  <si>
    <t>b8419600-7e7c-410d-b176-52f306b7d36d</t>
  </si>
  <si>
    <t>Electricity grid mix, consumption mix, at consumer, AC, 230V | SI | b862569c</t>
  </si>
  <si>
    <t>b862569c-55d7-41f5-a0e1-e15f58e7687d</t>
  </si>
  <si>
    <t>Electricity Mix, consumption mix, at consumer, AC, 1kV - 60kV | PT | b9562ec9</t>
  </si>
  <si>
    <t>b9562ec9-10cb-410a-a23c-146178662d30</t>
  </si>
  <si>
    <t>Process steam from light fuel oil, consumption mix, at plant, heat plant, MJ | AT | b9e06fed</t>
  </si>
  <si>
    <t>b9e06fed-daec-4f13-b4de-b1ac1c886356</t>
  </si>
  <si>
    <t>Process steam from light fuel oil, consumption mix, at plant, heat plant, MJ | BG | ba5f4f8f</t>
  </si>
  <si>
    <t>ba5f4f8f-24ca-4dcd-aad2-5644f4e008ea</t>
  </si>
  <si>
    <t>Electricity Mix, consumption mix, at consumer, AC, 230V | NL | ba65b4f5</t>
  </si>
  <si>
    <t>ba65b4f5-b979-4609-81ff-d0e16d8d2e59</t>
  </si>
  <si>
    <t>Process steam from heavy fuel oil, consumption mix, at plant, heat plant, MJ | IE | ba7570a7</t>
  </si>
  <si>
    <t>ba7570a7-7a45-44d1-8949-6e4dc2568292</t>
  </si>
  <si>
    <t>Process steam from light fuel oil, consumption mix, at plant, heat plant, MJ | SE | bab6dd4e</t>
  </si>
  <si>
    <t>bab6dd4e-a2ea-4fd9-a585-e8edafcb42e1</t>
  </si>
  <si>
    <t>Process steam from heavy fuel oil, consumption mix, at plant, heat plant, MJ | GB | bae2cad8</t>
  </si>
  <si>
    <t>bae2cad8-0a3e-4de8-b767-070ad53d2364</t>
  </si>
  <si>
    <t>Electricity grid mix, consumption mix, at consumer, AC, &lt; 1kV | EU-27 | bb0a26d2</t>
  </si>
  <si>
    <t>bb0a26d2-f6a6-4965-8653-2f18ec553bfe</t>
  </si>
  <si>
    <t>Electricity grid mix, consumption mix, at consumer, AC, &lt; 1kV</t>
  </si>
  <si>
    <t>Process steam from heavy fuel oil, consumption mix, at plant, heat plant, MJ | SI | bb6aa18a</t>
  </si>
  <si>
    <t>bb6aa18a-9acf-4e0a-957c-6d7b8350a6f3</t>
  </si>
  <si>
    <t>Process steam from Light fuel oil 90 %, consumption mix, at power plant, heat plant, MJ, 90 % efficiency | BE | bcd16941</t>
  </si>
  <si>
    <t>bcd16941-3da5-452d-8dab-f5890570243a</t>
  </si>
  <si>
    <t>Particle board, production mix, at plant, P2 (Standard FPY), 7,8% water content | EU-27 | bd7fdac9</t>
  </si>
  <si>
    <t>bd7fdac9-40d5-4613-9374-6969803269d9</t>
  </si>
  <si>
    <t>Particle board, production mix, at plant, P2 (Standard FPY), 7,8% water content</t>
  </si>
  <si>
    <t>Electricity Mix, consumption mix, at consumer, AC, 1kV - 60kV | GB | bf65c4c5</t>
  </si>
  <si>
    <t>bf65c4c5-175d-47ac-bcd2-27f418f3c4f4</t>
  </si>
  <si>
    <t>GCC slurry, Production at plant, Ground Calcium Carbonate (GCC) - slurry, unbleached and uncoated, with a solid content of 75% in the slurry, a CaCO3 content of 98% or more, a median particle size ranging typically from 1 to 3 µm, ready to be shipped ... | RER | c220ef06</t>
  </si>
  <si>
    <t>c220ef06-50b6-4037-b6b2-7562d01ea9e3</t>
  </si>
  <si>
    <t>GCC slurry, Production at plant, Ground Calcium Carbonate (GCC) - slurry, unbleached and uncoated, with a solid content of 75% in the slurry, a CaCO3 content of 98% or more, a median particle size ranging typically from 1 to 3 µm, ready to be shipped ...</t>
  </si>
  <si>
    <t>Spruce log with bark, production mix entry to saw mill, at plant, refostered managed forest, 44% water content | DE | c3d872b0</t>
  </si>
  <si>
    <t>c3d872b0-c18d-46a5-ac37-d1573246bfce</t>
  </si>
  <si>
    <t>Spruce log with bark, production mix entry to saw mill, at plant, refostered managed forest, 44% water content</t>
  </si>
  <si>
    <t>Electricity Mix, consumption mix, at consumer, AC, 220V | HU | c3dc3f1f</t>
  </si>
  <si>
    <t>c3dc3f1f-3641-4bfd-a04a-8e8432fc730e</t>
  </si>
  <si>
    <t>Electricity grid mix 1kV-60kV, consumption mix, at consumer, AC, 1kV - 60kV | NO | c4656800</t>
  </si>
  <si>
    <t>c4656800-3f33-485b-a29c-6dac4d5c9072</t>
  </si>
  <si>
    <t>Electricity Mix, consumption mix, at consumer, AC, 230V | DK | c51b3a74</t>
  </si>
  <si>
    <t>c51b3a74-4a67-483b-be83-b6d6b8d21061</t>
  </si>
  <si>
    <t>Process steam from natural gas 90%, consumption mix, at power plant, heat plant, MJ, 90 % efficiency | CZ | c56e3664</t>
  </si>
  <si>
    <t>c56e3664-9338-4c84-a766-87201b92fd3e</t>
  </si>
  <si>
    <t>Process steam from heavy fuel oil, consumption mix, at plant, heat plant, MJ | CZ | c6372760</t>
  </si>
  <si>
    <t>c6372760-cc1d-42c6-b139-77bcb6492236</t>
  </si>
  <si>
    <t>Process steam from natural gas 90%, consumption mix, at power plant, heat plant, MJ, 90 % efficiency | SK | c6a98580</t>
  </si>
  <si>
    <t>c6a98580-217e-4770-9256-c31a0b004dc3</t>
  </si>
  <si>
    <t>Electricity grid mix 1kV-60kV, consumption mix, at consumer, AC, 1kV - 60kV | FI | c6bc869d</t>
  </si>
  <si>
    <t>c6bc869d-3e8a-481a-8f3f-469c082df65e</t>
  </si>
  <si>
    <t>Waste incineration of untreated wood (10,7% water content), at plant, average European waste-to-energy plant, without collection, transport and pre-treatment | EU-27 | c6f0b870</t>
  </si>
  <si>
    <t>c6f0b870-89bc-414f-a7b4-3398f56eae25</t>
  </si>
  <si>
    <t>Hydrogen chloride gas (HCl), production mix for PVC production, at plant | RER | c71f9b0f</t>
  </si>
  <si>
    <t>c71f9b0f-be89-4be7-a00c-086230324492</t>
  </si>
  <si>
    <t>Hydrogen chloride gas (HCl), production mix for PVC production, at plant</t>
  </si>
  <si>
    <t>Process steam from Heavy fuel oil 90 %, consumption mix, at power plant, heat plant, MJ, 90 % efficiency | CH | c72f0a66</t>
  </si>
  <si>
    <t>c72f0a66-bef9-4926-996d-a5423cfbea2e</t>
  </si>
  <si>
    <t>Electricity Mix, consumption mix, at consumer, AC, 1kV - 60kV | BE | c76c5714</t>
  </si>
  <si>
    <t>c76c5714-f383-44f8-8882-f27d790042ef</t>
  </si>
  <si>
    <t>Process steam from light fuel oil, consumption mix, at plant, heat plant, MJ | IT | c84025a7</t>
  </si>
  <si>
    <t>c84025a7-1442-4200-b1d7-16b650017e6d</t>
  </si>
  <si>
    <t>Electricity Mix, consumption mix, at consumer, AC, 230V | FR | c8d7f695</t>
  </si>
  <si>
    <t>c8d7f695-1c5b-4f9a-8491-8c58c20c190f</t>
  </si>
  <si>
    <t>Polystyrene expandable granulate (EPS), production mix, at plant | RER | c8da0e5d</t>
  </si>
  <si>
    <t>c8da0e5d-a0b9-4868-8153-b5b1ad0c171c</t>
  </si>
  <si>
    <t>Polystyrene expandable granulate (EPS), production mix, at plant</t>
  </si>
  <si>
    <t>Electricity grid mix, consumption mix, at consumer, AC, 230V | FR | c90a9be1</t>
  </si>
  <si>
    <t>c90a9be1-dc64-4c4a-b161-3f5e964aacf2</t>
  </si>
  <si>
    <t>Electricity grid mix 1kV-60kV, consumption mix, at consumer, AC, 1kV - 60kV | BE | c93541fe</t>
  </si>
  <si>
    <t>c93541fe-0b28-40b8-a890-9948e9f1d41f</t>
  </si>
  <si>
    <t>Process steam from Light fuel oil 90 %, consumption mix, at power plant, heat plant, MJ, 90 % efficiency | PT | c9e67b38</t>
  </si>
  <si>
    <t>c9e67b38-e7f4-4907-bfbe-1d80e1011b05</t>
  </si>
  <si>
    <t>Process steam from Heavy fuel oil 90 %, consumption mix, at power plant, heat plant, MJ, 90 % efficiency | ES | ca065807</t>
  </si>
  <si>
    <t>ca065807-cab0-468f-a6e5-bc5d12ed6f74</t>
  </si>
  <si>
    <t>Heavy fuel oil at refinery (1.0wt.% S), production mix, at refinery, from crude oil, fuel supply, 1 wt.% sulphur | EU-27 | cac750e6</t>
  </si>
  <si>
    <t>cac750e6-f577-4e8b-af43-ae0000a55493</t>
  </si>
  <si>
    <t>Heavy fuel oil at refinery (1.0wt.% S), production mix, at refinery, from crude oil, fuel supply, 1 wt.% sulphur</t>
  </si>
  <si>
    <t>Process steam from heavy fuel oil, consumption mix, at plant, heat plant, MJ | HU | cb8dd6d8</t>
  </si>
  <si>
    <t>cb8dd6d8-5185-4bd9-bdc9-7123590f7329</t>
  </si>
  <si>
    <t>Process steam from natural gas 90 %, consumption mix, at power plant, heat plant, MJ, 90 % efficiency | SE | cc1586c7</t>
  </si>
  <si>
    <t>cc1586c7-305b-4400-a85e-a54d7204330c</t>
  </si>
  <si>
    <t>Rail transport, technology mix, diesel driven, cargo | GLO | cc2db53f</t>
  </si>
  <si>
    <t>cc2db53f-724c-44ac-a6fd-0c0da36768df</t>
  </si>
  <si>
    <t>Rail transport, technology mix, diesel driven, cargo</t>
  </si>
  <si>
    <t>Gypsum plasterboard, production mix at factory, technology mix of plasterboard production, 12.5 mm thick, 10kg/m2 | EU-27 | cc39e70e</t>
  </si>
  <si>
    <t>cc39e70e-4a40-42b6-89e3-7305f0b95dc4</t>
  </si>
  <si>
    <t>Gypsum plasterboard, production mix at factory, technology mix of plasterboard production, 12.5 mm thick, 10kg/m2</t>
  </si>
  <si>
    <t>Polyvinylchloride resin (E-PVC), production mix, at plant, emulsion polymerisation | RER | ccbdee3b</t>
  </si>
  <si>
    <t>ccbdee3b-27db-4852-a14c-ec73ad8421ea</t>
  </si>
  <si>
    <t>Polyvinylchloride resin (E-PVC), production mix, at plant, emulsion polymerisation</t>
  </si>
  <si>
    <t>Anhydrite (CaSO4), production mix, at plant, technology mix of natural (33%), thermal (33%) and synthetic (33%) produced anhydrite, grinded and purified product | DE | cd4506dd</t>
  </si>
  <si>
    <t>cd4506dd-fd30-4370-82a7-d1a6f7fcad15</t>
  </si>
  <si>
    <t>Anhydrite (CaSO4), production mix, at plant, technology mix of natural (33%), thermal (33%) and synthetic (33%) produced anhydrite, grinded and purified product</t>
  </si>
  <si>
    <t>Process steam from light fuel oil, consumption mix, at plant, heat plant, MJ | SK | cd6e0fc3</t>
  </si>
  <si>
    <t>cd6e0fc3-e568-4faa-b15e-b062fb7f6182</t>
  </si>
  <si>
    <t>Process steam from light fuel oil, consumption mix, at plant, heat plant, MJ | DK | cd966b19</t>
  </si>
  <si>
    <t>cd966b19-e753-4215-9a43-eec6bddb79e8</t>
  </si>
  <si>
    <t>Process steam from Light fuel oil 90 %, consumption mix, at power plant, heat plant, MJ, 90 % efficiency | RO | ce1fe386</t>
  </si>
  <si>
    <t>ce1fe386-e87e-434e-95d5-0d9715c192d8</t>
  </si>
  <si>
    <t>Electricity Mix, consumption mix, at consumer, AC, 230V | LU | ce4612ca</t>
  </si>
  <si>
    <t>ce4612ca-2d6b-43a9-a9dc-069847d4f000</t>
  </si>
  <si>
    <t>Electricity Mix, consumption mix, at consumer, AC, 1kV - 60kV | IT | ce82b33c</t>
  </si>
  <si>
    <t>ce82b33c-ea98-4ba2-b7cd-1838deff792d</t>
  </si>
  <si>
    <t>Process steam from natural gas 90%, consumption mix, at power plant, heat plant, MJ, 90 % efficiency | SI | ceeb4a1a</t>
  </si>
  <si>
    <t>ceeb4a1a-3f76-4a0c-bf9e-032275044947</t>
  </si>
  <si>
    <t>Process steam from heavy fuel oil, consumption mix, at plant, heat plant, MJ | ES | cef97a44</t>
  </si>
  <si>
    <t>cef97a44-c484-4bfa-b0f1-bcd8c96c1569</t>
  </si>
  <si>
    <t>Process steam from natural gas 90 %, consumption mix, at power plant, heat plant, MJ, 90 % efficiency | ES | cfab3236</t>
  </si>
  <si>
    <t>cfab3236-d997-425c-bebd-a1b60310eaf4</t>
  </si>
  <si>
    <t>Vinyl chloride monomer (VCM), production mix for PVC production , at plant | RER | d1240334</t>
  </si>
  <si>
    <t>d1240334-eb6a-47f4-93a1-4b5f0feba440</t>
  </si>
  <si>
    <t>Vinyl chloride monomer (VCM), production mix for PVC production , at plant</t>
  </si>
  <si>
    <t>Continuous filament glass fibre (wet chopped strands), at plant | RER | d176c895</t>
  </si>
  <si>
    <t>d176c895-2f1a-4596-804a-0db4d363f8ab</t>
  </si>
  <si>
    <t>Continuous filament glass fibre (wet chopped strands), at plant</t>
  </si>
  <si>
    <t>Continuous filament glass fibre (assembled rovings), at plant | RER | d1befc51</t>
  </si>
  <si>
    <t>d1befc51-af18-4725-b356-3c79be66b249</t>
  </si>
  <si>
    <t>Continuous filament glass fibre (assembled rovings), at plant</t>
  </si>
  <si>
    <t>Bulk carrier ocean, technology mix, 100.000-200.000 dwt | GLO | d34a2c9d</t>
  </si>
  <si>
    <t>d34a2c9d-21e6-458a-ba08-2e03addb9083</t>
  </si>
  <si>
    <t>Bulk carrier ocean, technology mix, 100.000-200.000 dwt</t>
  </si>
  <si>
    <t>Electricity Mix, consumption mix, at consumer, AC, 1kV - 60kV | CZ | d34cad37</t>
  </si>
  <si>
    <t>d34cad37-8fbd-466f-b5db-9677f90b768d</t>
  </si>
  <si>
    <t>Electricity grid mix, consumption mix, at consumer, AC, 230V | ES | d441b2b8</t>
  </si>
  <si>
    <t>d441b2b8-acdd-4825-8a8d-05a5cc5ab61a</t>
  </si>
  <si>
    <t>Electricity Mix, consumption mix, at consumer, AC, 230V | IS | d5d84799</t>
  </si>
  <si>
    <t>d5d84799-7696-4876-87d3-0a02fcf26e93</t>
  </si>
  <si>
    <t>Process steam from light fuel oil, consumption mix, at plant, heat plant, MJ | EE | d6020cc8</t>
  </si>
  <si>
    <t>d6020cc8-ffc0-440c-b13f-c0c531879717</t>
  </si>
  <si>
    <t>Process steam from heavy fuel oil, consumption mix, at plant, heat plant, MJ | NO | d6082887</t>
  </si>
  <si>
    <t>d6082887-a797-4841-a4e3-c1493b0c0353</t>
  </si>
  <si>
    <t>Container glass (delivered to the end user of the contained product, reuse rate: 7%), production mix at plant, technology mix | RER | d7bbec20</t>
  </si>
  <si>
    <t>d7bbec20-f8d8-4a8a-9a99-c7cdafaaa77d</t>
  </si>
  <si>
    <t>Container glass (delivered to the end user of the contained product, reuse rate: 7%), production mix at plant, technology mix</t>
  </si>
  <si>
    <t>Process steam from light fuel oil, consumption mix, at plant, heat plant, MJ | CH | d879e3dd</t>
  </si>
  <si>
    <t>d879e3dd-16ff-4dc4-b872-b953baf4078f</t>
  </si>
  <si>
    <t>Process steam from light fuel oil, consumption mix, at plant, heat plant, MJ | GR | d8f21c14</t>
  </si>
  <si>
    <t>d8f21c14-5418-453c-b458-f46ea11451c4</t>
  </si>
  <si>
    <t>Porocalce plaster production, Production mix at plant - Southern Italy, Porocalce plaster - Milling and mixing of sand, perlite, expanded glass, calcium hydroxide, 1 kg, Plaster | IT | da78eea3</t>
  </si>
  <si>
    <t>da78eea3-ead1-4379-80af-14a991a2a746</t>
  </si>
  <si>
    <t>Porocalce plaster production, Production mix at plant - Southern Italy, Porocalce plaster - Milling and mixing of sand, perlite, expanded glass, calcium hydroxide, 1 kg, Plaster</t>
  </si>
  <si>
    <t>Lignite mix, consumption mix, at consumer, technology mix | EU-27 | da891445</t>
  </si>
  <si>
    <t>da891445-9212-4d35-9d3a-78b58cd1ca93</t>
  </si>
  <si>
    <t>Lignite mix, consumption mix, at consumer, technology mix</t>
  </si>
  <si>
    <t>Heat, consumption mix, at consumer, residential heating systems from natural gas, condensing boiler, max. heat output 14,9 kW, at a temperature level of 55°C | EU-27 | db009010</t>
  </si>
  <si>
    <t>db009010-338f-11dd-bd11-0800200c9a66</t>
  </si>
  <si>
    <t>Heat, consumption mix, at consumer, residential heating systems from natural gas, condensing boiler, max. heat output 14,9 kW, at a temperature level of 55°C</t>
  </si>
  <si>
    <t>Heat, consumption mix, at consumer, residential heating systems from wood pellets, boiler, max. heat output 14,9 kW, at a temperature level of 70°C | EU-27 | db009011</t>
  </si>
  <si>
    <t>db009011-338f-11dd-bd11-0800200c9a66</t>
  </si>
  <si>
    <t>Heat, consumption mix, at consumer, residential heating systems from wood pellets, boiler, max. heat output 14,9 kW, at a temperature level of 70°C</t>
  </si>
  <si>
    <t>Heat, consumption mix, at consumer, residential heating systems from light fuel oil (low sulphur), condensing boiler, max. heat output 14,9   kW, at a temperature level of 55°C | EU-27 | db009012</t>
  </si>
  <si>
    <t>db009012-338f-11dd-bd11-0800200c9a66</t>
  </si>
  <si>
    <t>Heat, consumption mix, at consumer, residential heating systems from light fuel oil (low sulphur), condensing boiler, max. heat output 14,9   kW, at a temperature level of 55°C</t>
  </si>
  <si>
    <t>Drinking water, production mix, at plant, water purification treatment, from groundwater | RER | db009013</t>
  </si>
  <si>
    <t>db009013-338f-11dd-bd11-0800200c9a66</t>
  </si>
  <si>
    <t>Drinking water, production mix, at plant, water purification treatment, from groundwater</t>
  </si>
  <si>
    <t>Drinking water, production mix, at plant, water purification treatment, from surface water | RER | db009014</t>
  </si>
  <si>
    <t>db009014-338f-11dd-bd11-0800200c9a66</t>
  </si>
  <si>
    <t>Drinking water, production mix, at plant, water purification treatment, from surface water</t>
  </si>
  <si>
    <t>Process water, production mix, at plant, ion exchange, from groundwater | RER | db009015</t>
  </si>
  <si>
    <t>db009015-338f-11dd-bd11-0800200c9a66</t>
  </si>
  <si>
    <t>Process water, production mix, at plant, ion exchange, from groundwater</t>
  </si>
  <si>
    <t>Process water, production mix, at plant, ion exchange, from surface water | RER | db009016</t>
  </si>
  <si>
    <t>db009016-338f-11dd-bd11-0800200c9a66</t>
  </si>
  <si>
    <t>Process water, production mix, at plant, ion exchange, from surface water</t>
  </si>
  <si>
    <t>De-ionised water, production mix, at plant, reverse osmosis, from groundwater | RER | db009017</t>
  </si>
  <si>
    <t>db009017-338f-11dd-bd11-0800200c9a66</t>
  </si>
  <si>
    <t>De-ionised water, production mix, at plant, reverse osmosis, from groundwater</t>
  </si>
  <si>
    <t>De-ionised water, production mix, at plant, reverse osmosis, from surface water | RER | db009018</t>
  </si>
  <si>
    <t>db009018-338f-11dd-bd11-0800200c9a66</t>
  </si>
  <si>
    <t>De-ionised water, production mix, at plant, reverse osmosis, from surface water</t>
  </si>
  <si>
    <t>Polyamide 6.6 fibres (PA 6.6), production mix, at plant, from adipic acid and hexamethylene diamine (HMDA), PA 6.6 granulate without additives | EU-27 | db009019</t>
  </si>
  <si>
    <t>db009019-338f-11dd-bd11-0800200c9a66</t>
  </si>
  <si>
    <t>Polyamide 6.6 fibres (PA 6.6), production mix, at plant, from adipic acid and hexamethylene diamine (HMDA), PA 6.6 granulate without additives</t>
  </si>
  <si>
    <t>Polyacrylonitrile fibres (PAN), production mix, at plant, from acrylonitrile and methacrylate, PAN without additives | EU-27 | db00901a</t>
  </si>
  <si>
    <t>db00901a-338f-11dd-bd11-0800200c9a66</t>
  </si>
  <si>
    <t>Polyacrylonitrile fibres (PAN), production mix, at plant, from acrylonitrile and methacrylate, PAN without additives</t>
  </si>
  <si>
    <t>Polypropylene fibres (PP), production mix, at plant, crude oil based, PP granulate without additives | EU-27 | db00901b</t>
  </si>
  <si>
    <t>db00901b-338f-11dd-bd11-0800200c9a66</t>
  </si>
  <si>
    <t>Polypropylene fibres (PP), production mix, at plant, crude oil based, PP granulate without additives</t>
  </si>
  <si>
    <t>Polyethylene terephthalate fibres (PET), production mix, at plant, via dimethyl terephthalate (DMT), PET granulate without additives | EU-27 | db00901c</t>
  </si>
  <si>
    <t>db00901c-338f-11dd-bd11-0800200c9a66</t>
  </si>
  <si>
    <t>Polyethylene terephthalate fibres (PET), production mix, at plant, via dimethyl terephthalate (DMT), PET granulate without additives</t>
  </si>
  <si>
    <t>Waste water treatment, at waste water treatment plant, chemical reduction/oxidation process, municipal waste water | RER | db00901d</t>
  </si>
  <si>
    <t>db00901d-338f-11dd-bd11-0800200c9a66</t>
  </si>
  <si>
    <t>Waste water treatment, at waste water treatment plant, chemical reduction/oxidation process, municipal waste water</t>
  </si>
  <si>
    <t>Waste water treatment, at waste water treatment plant, industrial waste water according to the Directive 91/271/EEC concerning urban waste water treatment, slightly organic contaminated | EU-27 | db00901e</t>
  </si>
  <si>
    <t>db00901e-338f-11dd-bd11-0800200c9a66</t>
  </si>
  <si>
    <t>Waste water treatment, at waste water treatment plant, industrial waste water according to the Directive 91/271/EEC concerning urban waste water treatment, slightly organic contaminated</t>
  </si>
  <si>
    <t>Waste water treatment, at waste water treatment plant, industrial waste water according to the Directive 91/271/EEC concerning urban waste water treatment, slightly organic and anorganic contaminated | EU-27 | db00901f</t>
  </si>
  <si>
    <t>db00901f-338f-11dd-bd11-0800200c9a66</t>
  </si>
  <si>
    <t>Waste water treatment, at waste water treatment plant, industrial waste water according to the Directive 91/271/EEC concerning urban waste water treatment, slightly organic and anorganic contaminated</t>
  </si>
  <si>
    <t>Waste water treatment, at waste water treatment plant, industrial waste water according to the Directive 91/271/EEC concerning urban waste water treatment, organic contaminated | EU-27 | db009020</t>
  </si>
  <si>
    <t>db009020-338f-11dd-bd11-0800200c9a66</t>
  </si>
  <si>
    <t>Waste water treatment, at waste water treatment plant, industrial waste water according to the Directive 91/271/EEC concerning urban waste water treatment, organic contaminated</t>
  </si>
  <si>
    <t>Benzene, production mix, at plant, technology mix, from pyrolysis gasoline, reformate and toluene dealkylation, liquid | EU-27 | db009021</t>
  </si>
  <si>
    <t>db009021-338f-11dd-bd11-0800200c9a66</t>
  </si>
  <si>
    <t>Benzene, production mix, at plant, technology mix, from pyrolysis gasoline, reformate and toluene dealkylation, liquid</t>
  </si>
  <si>
    <t>Rail transport, technology mix, diesel driven, cargo | RER | db009023</t>
  </si>
  <si>
    <t>db009023-338f-11dd-bd11-0800200c9a66</t>
  </si>
  <si>
    <t>Process steam from Heavy fuel oil 90 %, consumption mix, at power plant, heat plant, MJ, 90 % efficiency | SE | db821149</t>
  </si>
  <si>
    <t>db821149-d4ec-4c3a-b52a-ef22a6d1e302</t>
  </si>
  <si>
    <t>Electricity grid mix 1kV-60kV, consumption mix, at consumer, AC, 1kV - 60kV | SI | db9f5e2b</t>
  </si>
  <si>
    <t>db9f5e2b-4e51-4f82-912d-d26c91077f35</t>
  </si>
  <si>
    <t>Process steam from Heavy fuel oil 90 %, consumption mix, at power plant, heat plant, MJ, 90 % efficiency | PL | dc8987af</t>
  </si>
  <si>
    <t>dc8987af-bfce-4820-8230-3ee42ffe4c89</t>
  </si>
  <si>
    <t>Electricity grid mix, consumption mix, at consumer, AC, 230V | CZ | dce81355</t>
  </si>
  <si>
    <t>dce81355-c4c0-486f-b442-5f10d67b3c18</t>
  </si>
  <si>
    <t>Process steam from Light fuel oil 90 %, consumption mix, at power plant, heat plant, MJ, 90 % efficiency | HU | dd225398</t>
  </si>
  <si>
    <t>dd225398-fe89-4e25-b821-3c38c3133d34</t>
  </si>
  <si>
    <t>Oxygen, production mix, at plant, via cryogenic air separation, gaseous | EU-27 | de25dd0e</t>
  </si>
  <si>
    <t>de25dd0e-0072-4e8d-af0d-df6b17c05e1e</t>
  </si>
  <si>
    <t>Oxygen, production mix, at plant, via cryogenic air separation, gaseous</t>
  </si>
  <si>
    <t>Electricity Mix, consumption mix, at consumer, AC, 230V | CH | de60e9f5</t>
  </si>
  <si>
    <t>de60e9f5-87a0-40cb-ae54-11ec7eac8909</t>
  </si>
  <si>
    <t>PCC slurry, Production at plant, Precipitated Calcium Carbonate (PCC) - slurry, uncoated, with a solid content ranging from 15% to 40% in the slurry, a CaCO3 content of 98% or more, a median particle size ranging typically from 0.3 to 3 µm, ready to b... | RER | deb8f616</t>
  </si>
  <si>
    <t>deb8f616-d451-4904-b241-d7295713accf</t>
  </si>
  <si>
    <t>PCC slurry, Production at plant, Precipitated Calcium Carbonate (PCC) - slurry, uncoated, with a solid content ranging from 15% to 40% in the slurry, a CaCO3 content of 98% or more, a median particle size ranging typically from 0.3 to 3 µm, ready to b...</t>
  </si>
  <si>
    <t>Electricity grid mix, consumption mix, at consumer, AC, 230V | HU | df5471d5</t>
  </si>
  <si>
    <t>df5471d5-1f02-4aca-b3e8-a485d4303ae4</t>
  </si>
  <si>
    <t>Hard coal mix, consumption mix, at consumer, technology mix | EU-27 | dff13196</t>
  </si>
  <si>
    <t>dff13196-75d9-4179-8b45-7b35891ac38e</t>
  </si>
  <si>
    <t>Hard coal mix, consumption mix, at consumer, technology mix</t>
  </si>
  <si>
    <t>Waste incineration of plastics (PE, PP, PS, PB), at plant, average European waste-to-energy plant, without collection, transport and pre-treatment | EU-27 | e01167ad</t>
  </si>
  <si>
    <t>e01167ad-6cf8-47a7-8df9-e89bf35cb704</t>
  </si>
  <si>
    <t>Process steam from Light fuel oil 90 %, consumption mix, at power plant, heat plant, MJ, 90 % efficiency | EE | e02a2b87</t>
  </si>
  <si>
    <t>e02a2b87-57dd-4e0c-825c-2dc17333e41a</t>
  </si>
  <si>
    <t>Process steam from natural gas, consumption mix, at plant, heat plant, MJ | SE | e069b53f</t>
  </si>
  <si>
    <t>e069b53f-3825-4111-8c61-a4befcaff5aa</t>
  </si>
  <si>
    <t>Process steam from light fuel oil, consumption mix, at plant, heat plant, MJ | CY | e131e07d</t>
  </si>
  <si>
    <t>e131e07d-f6b7-4429-bf23-3f101fcc99e0</t>
  </si>
  <si>
    <t>Steel hot rolled coil (ILCD), production mix, at plant, blast furnace route, 1kg, typical thickness between 2 - 7 mm. typical width between 600 - 2100 mm | GLO | e16174fe</t>
  </si>
  <si>
    <t>e16174fe-6542-4572-90bc-8980616ebe53</t>
  </si>
  <si>
    <t>Steel hot rolled coil (ILCD), production mix, at plant, blast furnace route, 1kg, typical thickness between 2 - 7 mm. typical width between 600 - 2100 mm</t>
  </si>
  <si>
    <t>Process steam from Light fuel oil 90 %, consumption mix, at power plant, heat plant, MJ, 90 % efficiency | LT | e22e9408</t>
  </si>
  <si>
    <t>e22e9408-f3b7-486b-86e3-f54c5de23b8c</t>
  </si>
  <si>
    <t>Electricity grid mix 1kV-60kV, consumption mix, at consumer, AC, 1kV - 60kV | IS | e35262d2</t>
  </si>
  <si>
    <t>e35262d2-f91a-487b-af42-7e88f30c0d71</t>
  </si>
  <si>
    <t>Process steam from heavy fuel oil, consumption mix, at plant, heat plant, MJ | AT | e3cd6a07</t>
  </si>
  <si>
    <t>e3cd6a07-b8b5-46dd-881b-2b77f6c3f27c</t>
  </si>
  <si>
    <t>Process steam from Heavy fuel oil 90 %, consumption mix, at power plant, heat plant, MJ, 90 % efficiency | SK | e560be6f</t>
  </si>
  <si>
    <t>e560be6f-4b9d-4da1-b23f-aed4253f436b</t>
  </si>
  <si>
    <t>Process steam from natural gas, consumption mix, at plant, heat plant, MJ | EU-27 | e6b42a88</t>
  </si>
  <si>
    <t>e6b42a88-7301-485e-98d7-202cb33505e2</t>
  </si>
  <si>
    <t>Electricity grid mix 1kV-60kV, consumption mix, at consumer, AC, 1kV - 60kV | MT | e7830723</t>
  </si>
  <si>
    <t>e7830723-15f7-47b8-8870-f30ca0c922e7</t>
  </si>
  <si>
    <t>Nylon 66 GF 30 compound (PA 66 GF 30), production mix, at plant | RER | e7920ba8</t>
  </si>
  <si>
    <t>e7920ba8-e048-49b5-b16b-387a937b901b</t>
  </si>
  <si>
    <t>Nylon 66 GF 30 compound (PA 66 GF 30), production mix, at plant</t>
  </si>
  <si>
    <t>Process steam from heavy fuel oil, consumption mix, at plant, heat plant, MJ | FR | e7b2759e</t>
  </si>
  <si>
    <t>e7b2759e-186d-4bf6-aa98-41eb3dccfc3c</t>
  </si>
  <si>
    <t>Electricity Mix, consumption mix, at consumer, AC, 230V | RO | e7ca53ec</t>
  </si>
  <si>
    <t>e7ca53ec-792e-4573-92ca-9752658e8e9d</t>
  </si>
  <si>
    <t>Process steam from natural gas 90 %, consumption mix, at power plant, heat plant, MJ, 90 % efficiency | GB | e81d1c6c</t>
  </si>
  <si>
    <t>e81d1c6c-d422-4d68-8efb-a2d64a30aba6</t>
  </si>
  <si>
    <t>Process steam from natural gas 90%, consumption mix, at power plant, heat plant, MJ, 90 % efficiency | LT | e87b056b</t>
  </si>
  <si>
    <t>e87b056b-aba7-492f-ad7c-25e9486ea41e</t>
  </si>
  <si>
    <t>Process steam from heavy fuel oil, consumption mix, at plant, heat plant, MJ | SK | e925898a</t>
  </si>
  <si>
    <t>e925898a-50ec-427c-a0d6-8696ac31a660</t>
  </si>
  <si>
    <t>Process steam from natural gas 90 %, consumption mix, at power plant, heat plant, MJ, 90 % efficiency | FR | e95eb270</t>
  </si>
  <si>
    <t>e95eb270-0932-4950-9072-10b90037c7f2</t>
  </si>
  <si>
    <t>Electricity Mix, consumption mix, at consumer, AC, 1kV - 60kV | ES | e9d82aa9</t>
  </si>
  <si>
    <t>e9d82aa9-0160-4993-8945-6c4a41dc594f</t>
  </si>
  <si>
    <t>Electricity grid mix 1kV-60kV, consumption mix, at consumer, AC, 1kV - 60kV | BG | eaf92022</t>
  </si>
  <si>
    <t>eaf92022-e9ac-403f-ad93-b10dfe358d7b</t>
  </si>
  <si>
    <t>Electricity grid mix 1kV-60kV, consumption mix, at consumer, AC, 1kV - 60kV | IE | eb9ca519</t>
  </si>
  <si>
    <t>eb9ca519-6063-4b17-8626-9c4016f09b2b</t>
  </si>
  <si>
    <t>Propene (Propylene), production mix, at plant, from steam cracking, gaseous | EU-27 | ec09778b</t>
  </si>
  <si>
    <t>ec09778b-711d-4078-8a9a-6cd37c4a4176</t>
  </si>
  <si>
    <t>Propene (Propylene), production mix, at plant, from steam cracking, gaseous</t>
  </si>
  <si>
    <t>Electricity grid mix 1kV-60kV, consumption mix, at consumer, AC, 1kV - 60kV | AT | ec280d7b</t>
  </si>
  <si>
    <t>ec280d7b-d35b-4307-b0c4-05238af04fc0</t>
  </si>
  <si>
    <t>Sulphur, consumption mix, at refinery, from crude oil, elemental sulphur | EU-15 | ec450ce7</t>
  </si>
  <si>
    <t>ec450ce7-4598-4ca5-9ab3-452ff1c750a4</t>
  </si>
  <si>
    <t>Sulphur, consumption mix, at refinery, from crude oil, elemental sulphur</t>
  </si>
  <si>
    <t>Bulk carrier ocean, technology mix, 100.000-200.000 dwt | RER | ee57e8ac</t>
  </si>
  <si>
    <t>ee57e8ac-17cd-4538-be62-35d1095a30c2</t>
  </si>
  <si>
    <t>Electricity Mix, consumption mix, at consumer, AC, 1kV - 60kV | EE | eeedcfdc</t>
  </si>
  <si>
    <t>eeedcfdc-042d-47d7-be9b-f7f23a58b2a5</t>
  </si>
  <si>
    <t>Electricity grid mix, consumption mix, at consumer, AC, 230V | RO | ef6e9eae</t>
  </si>
  <si>
    <t>ef6e9eae-f4e3-4c66-bdc0-2d193ddef912</t>
  </si>
  <si>
    <t>Electricity Mix, consumption mix, at consumer, AC, 115-220V | ES | f0a6c237</t>
  </si>
  <si>
    <t>f0a6c237-873e-474e-a9cb-bcff8a6b3fe2</t>
  </si>
  <si>
    <t>Electricity Mix, consumption mix, at consumer, AC, 115-220V</t>
  </si>
  <si>
    <t>Electricity Mix, consumption mix, at consumer, AC, 230V | PT | f19d5cc5</t>
  </si>
  <si>
    <t>f19d5cc5-9c0b-466a-9575-6b0d07e022a3</t>
  </si>
  <si>
    <t>Process steam from heavy fuel oil, consumption mix, at plant, heat plant, MJ | SE | f1bbe8c0</t>
  </si>
  <si>
    <t>f1bbe8c0-f67f-4773-8e4b-18b36779b1dc</t>
  </si>
  <si>
    <t>Polyethylene low linear density granulate (PE-LLD), production mix, at plant | RER | f35313d3</t>
  </si>
  <si>
    <t>f35313d3-c5fa-4b97-a212-d11a122070f8</t>
  </si>
  <si>
    <t>Polyethylene low linear density granulate (PE-LLD), production mix, at plant</t>
  </si>
  <si>
    <t>Process steam from light fuel oil, consumption mix, at plant, heat plant, MJ | SI | f376db57</t>
  </si>
  <si>
    <t>f376db57-a86e-47cc-be5b-e4508d017fa6</t>
  </si>
  <si>
    <t>Process steam from Light fuel oil 90 %, consumption mix, at power plant, heat plant, MJ, 90 % efficiency | FR | f3f9e2e4</t>
  </si>
  <si>
    <t>f3f9e2e4-b51e-49a8-81f9-221b95c54fc4</t>
  </si>
  <si>
    <t>Gasoline mix (regular) at refinery, production mix, at refinery, from crude oil and bio components, fuel supply, 10 ppm sulphur, 5.75 wt.% bio components | EU-27 | f44f98ce</t>
  </si>
  <si>
    <t>f44f98ce-1d4c-4267-9d06-c7686b9488a3</t>
  </si>
  <si>
    <t>Gasoline mix (regular) at refinery, production mix, at refinery, from crude oil and bio components, fuel supply, 10 ppm sulphur, 5.75 wt.% bio components</t>
  </si>
  <si>
    <t>Process steam from heavy fuel oil, consumption mix, at plant, heat plant, MJ | CH | f4b59536</t>
  </si>
  <si>
    <t>f4b59536-56bb-4cbc-aec5-790b84179720</t>
  </si>
  <si>
    <t>Process steam from natural gas 90 %, consumption mix, at power plant, heat plant, MJ, 90 % efficiency | DE | f4f12d04</t>
  </si>
  <si>
    <t>f4f12d04-7105-4638-afea-753b0556241e</t>
  </si>
  <si>
    <t>Electricity grid mix, consumption mix, at consumer, AC, 230V | BG | f61f58b8</t>
  </si>
  <si>
    <t>f61f58b8-5a56-4d77-ad34-7dbe66ec9165</t>
  </si>
  <si>
    <t>Electricity Mix, consumption mix, at consumer, AC, 1kV - 60kV | AT | f64909f4</t>
  </si>
  <si>
    <t>f64909f4-e093-4400-91be-d6ea7f1a6907</t>
  </si>
  <si>
    <t>Process steam from heavy fuel oil, consumption mix, at plant, heat plant, MJ | PT | f70e4e1e</t>
  </si>
  <si>
    <t>f70e4e1e-536f-497d-8a64-4528898da8bd</t>
  </si>
  <si>
    <t>Sodium hydroxide, production mix for PVC production, at plant, 100% NaOH | RER | f7ba74a4</t>
  </si>
  <si>
    <t>f7ba74a4-e81c-4084-97c9-b9dd5456446c</t>
  </si>
  <si>
    <t>Sodium hydroxide, production mix for PVC production, at plant, 100% NaOH</t>
  </si>
  <si>
    <t>Oriented Strand Board, production mix, at plant, OSB III, 4,8% water content | EU-27 | f7e0f0fd</t>
  </si>
  <si>
    <t>f7e0f0fd-fb6b-40b5-9300-bddba423e084</t>
  </si>
  <si>
    <t>Oriented Strand Board, production mix, at plant, OSB III, 4,8% water content</t>
  </si>
  <si>
    <t>Electricity Mix, consumption mix, at consumer, AC, 1kV - 60kV | NO | f80f77ee</t>
  </si>
  <si>
    <t>f80f77ee-c7f2-495f-ad0f-bfeed7bdb820</t>
  </si>
  <si>
    <t>Electricity grid mix 1kV-60kV, consumption mix, at consumer, AC, 1kV - 60kV | LV | f89a438f</t>
  </si>
  <si>
    <t>f89a438f-fa10-4de7-8df8-aed25ebabecb</t>
  </si>
  <si>
    <t>Electricity Mix, consumption mix, at consumer, AC, 230V | AT | f8a2668d</t>
  </si>
  <si>
    <t>f8a2668d-9b8c-4759-b736-1b848a211902</t>
  </si>
  <si>
    <t>Process steam from heavy fuel oil, consumption mix, at plant, heat plant, MJ | PL | f8ab8f94</t>
  </si>
  <si>
    <t>f8ab8f94-8e42-4dc3-ae50-7f530d4f12f1</t>
  </si>
  <si>
    <t>Steel hot rolled section, production mix, at plant, blast furnace and electric arc furnace route, | GLO | f9d4581e</t>
  </si>
  <si>
    <t>f9d4581e-14de-417e-8f9f-6c74e6f14051</t>
  </si>
  <si>
    <t>Steel hot rolled section, production mix, at plant, blast furnace and electric arc furnace route,</t>
  </si>
  <si>
    <t>Nylon 6 granulate (PA 6), production mix, at plant | RER | fad4c07f</t>
  </si>
  <si>
    <t>fad4c07f-40db-48fa-8d62-de5ae8d9fcbf</t>
  </si>
  <si>
    <t>Nylon 6 granulate (PA 6), production mix, at plant</t>
  </si>
  <si>
    <t>Process steam from natural gas 90%, consumption mix, at power plant, heat plant, MJ, 90 % efficiency | LV | fc0019a5</t>
  </si>
  <si>
    <t>fc0019a5-3247-41dd-90bb-041e89ef3839</t>
  </si>
  <si>
    <t>Electricity Mix, consumption mix, at consumer, AC, 220V | SK | fc7889ca</t>
  </si>
  <si>
    <t>fc7889ca-c29d-4266-87bc-01b0fbc01d9b</t>
  </si>
  <si>
    <t>Process steam from Heavy fuel oil 90 %, consumption mix, at power plant, heat plant, MJ, 90 % efficiency | BE | fccea4d2</t>
  </si>
  <si>
    <t>fccea4d2-8716-44fe-9d1c-9a9f00d45aa7</t>
  </si>
  <si>
    <t>Hard Coal, consumption mix, at power plant, from underground and open pit mining | EU-27 | fd9db250</t>
  </si>
  <si>
    <t>fd9db250-4998-11dd-ae16-0800200c9a66</t>
  </si>
  <si>
    <t>Hard Coal, consumption mix, at power plant, from underground and open pit mining</t>
  </si>
  <si>
    <t>Lignite, consumption mix, at power plant, from open pit mining | EU-27 | fd9db251</t>
  </si>
  <si>
    <t>fd9db251-4998-11dd-ae16-0800200c9a66</t>
  </si>
  <si>
    <t>Lignite, consumption mix, at power plant, from open pit mining</t>
  </si>
  <si>
    <t>Special high grade zinc, production mix, at plant, primary production | GLO | fd9db252</t>
  </si>
  <si>
    <t>fd9db252-4998-11dd-ae16-0800200c9a66</t>
  </si>
  <si>
    <t>Special high grade zinc, production mix, at plant, primary production</t>
  </si>
  <si>
    <t>Lead, consumption mix, at plant, primary | DE | fd9db253</t>
  </si>
  <si>
    <t>fd9db253-4998-11dd-ae16-0800200c9a66</t>
  </si>
  <si>
    <t>Lead, consumption mix, at plant, primary</t>
  </si>
  <si>
    <t>Electricity Mix, consumption mix, at consumer, AC, 220V | LT | fde3d025</t>
  </si>
  <si>
    <t>fde3d025-2889-4e04-a6ff-0dd9a6b79b80</t>
  </si>
  <si>
    <t>Electricity from wind power, production mix, at power plant, AC, &lt; 1kV | RER | fe1c3d03</t>
  </si>
  <si>
    <t>fe1c3d03-072b-4da7-8fff-3505f9b01efc</t>
  </si>
  <si>
    <t>Electricity from wind power, production mix, at power plant, AC, &lt; 1kV</t>
  </si>
  <si>
    <t>Electricity grid mix, consumption mix, at consumer, AC, 230V | AT | fe2e54f4</t>
  </si>
  <si>
    <t>fe2e54f4-5200-410f-8b97-0ed5380183ed</t>
  </si>
  <si>
    <t>Process steam from natural gas 90%, consumption mix, at power plant, heat plant, MJ, 90 % efficiency | EE | fe71f291</t>
  </si>
  <si>
    <t>fe71f291-65d4-4c66-875f-0c737ee264d2</t>
  </si>
  <si>
    <t>Electricity grid mix, consumption mix, at consumer, AC, 230V | NL | ff8e5c50</t>
  </si>
  <si>
    <t>ff8e5c50-00c8-443f-aba9-a4d106937e8a</t>
  </si>
  <si>
    <t>Dummy_Overburden (deposited) | No location | 9f5c8e7c</t>
  </si>
  <si>
    <t>9f5c8e7c-7538-48bc-9bab-9f510f378ebd</t>
  </si>
  <si>
    <t>Dummy_Overburden (deposited)</t>
  </si>
  <si>
    <t>Dummy_Waste (unspecified) | No location | 4ae22ef2</t>
  </si>
  <si>
    <t>4ae22ef2-8606-4b1d-bf7c-56190a86d5ee</t>
  </si>
  <si>
    <t>Dummy_Waste (unspecified)</t>
  </si>
  <si>
    <t>Dummy_energy (recovered) | No location | 8537e26d</t>
  </si>
  <si>
    <t>8537e26d-d1b6-4416-879e-e5b38059fc26</t>
  </si>
  <si>
    <t>Dummy_energy (recovered)</t>
  </si>
  <si>
    <t>Dummy_electricity | No location | c8ac7514</t>
  </si>
  <si>
    <t>c8ac7514-9aa7-46cb-9dd7-0c33667f1f92</t>
  </si>
  <si>
    <t>Dummy_electricity</t>
  </si>
  <si>
    <t>Dummy_secondary fuel | No location | df59cb17</t>
  </si>
  <si>
    <t>df59cb17-abe4-4856-8355-630f4b002e8c</t>
  </si>
  <si>
    <t>Dummy_secondary fuel</t>
  </si>
  <si>
    <t>Dummy_secondary fuel renewable | No location | 4dca32df</t>
  </si>
  <si>
    <t>4dca32df-04e1-458d-b1a8-503c21b5178d</t>
  </si>
  <si>
    <t>Dummy_secondary fuel renewable</t>
  </si>
  <si>
    <t>Dummy_LPG - liquefied petroleum gas | No location | 263f85db</t>
  </si>
  <si>
    <t>263f85db-423d-4bdb-9e1c-f3854d96b131</t>
  </si>
  <si>
    <t>Dummy_LPG - liquefied petroleum gas</t>
  </si>
  <si>
    <t>Dummy_Hydrogen | No location | 047bd537</t>
  </si>
  <si>
    <t>047bd537-3e15-4490-aa5a-e7205b314a59</t>
  </si>
  <si>
    <t>Dummy_Hydrogen</t>
  </si>
  <si>
    <t>Dummy_Water for industrial use | No location | 15f60776</t>
  </si>
  <si>
    <t>15f60776-9f95-41df-805d-5f0ed0970ee9</t>
  </si>
  <si>
    <t>Dummy_Water for industrial use</t>
  </si>
  <si>
    <t>Dummy_Limestone | No location | a8b1d4b6</t>
  </si>
  <si>
    <t>a8b1d4b6-3104-455a-9584-ea54acf7addb</t>
  </si>
  <si>
    <t>Dummy_Limestone</t>
  </si>
  <si>
    <t>Dummy_Zinc dust | No location | 259d2af5</t>
  </si>
  <si>
    <t>259d2af5-933a-45b0-af1c-af9ab6218518</t>
  </si>
  <si>
    <t>Dummy_Zinc dust</t>
  </si>
  <si>
    <t>Dummy_Water (desalinated; deionized) | No location | 1cc3ad90</t>
  </si>
  <si>
    <t>1cc3ad90-1b4c-418d-9db7-bdd7bbe7f0b7</t>
  </si>
  <si>
    <t>Dummy_Water (desalinated; deionized)</t>
  </si>
  <si>
    <t>Dummy_gypsum suspension | No location | 75808bd7</t>
  </si>
  <si>
    <t>75808bd7-6aed-4201-8982-a525b4da9598</t>
  </si>
  <si>
    <t>Dummy_gypsum suspension</t>
  </si>
  <si>
    <t>Dummy_polyethylene low density foil(PE-LD) | No location | 4c26ea0c</t>
  </si>
  <si>
    <t>4c26ea0c-8a77-40a2-beb9-f6b5b1fd2858</t>
  </si>
  <si>
    <t>Dummy_polyethylene low density foil(PE-LD)</t>
  </si>
  <si>
    <t>Dummy_hydrated lime dry slaked | No location | 4d72123a</t>
  </si>
  <si>
    <t>4d72123a-abe1-469e-9f9a-c61ccdfa3328</t>
  </si>
  <si>
    <t>Dummy_hydrated lime dry slaked</t>
  </si>
  <si>
    <t>Dummy_iron chloride | No location | 4b830f91</t>
  </si>
  <si>
    <t>4b830f91-5ca8-4f5c-bd3a-45457f3d0ced</t>
  </si>
  <si>
    <t>Dummy_iron chloride</t>
  </si>
  <si>
    <t>Dummy_phosphoric acid | No location | afab6a69</t>
  </si>
  <si>
    <t>afab6a69-1c9d-4d29-a093-1fbbcc87ee34</t>
  </si>
  <si>
    <t>Dummy_phosphoric acid</t>
  </si>
  <si>
    <t>Dummy_zinc calcine | No location | ceafc8fd</t>
  </si>
  <si>
    <t>ceafc8fd-8234-4355-9525-1867f3a00347</t>
  </si>
  <si>
    <t>Dummy_zinc calcine</t>
  </si>
  <si>
    <t>Dummy_zinc dross | No location | 0d56c0df</t>
  </si>
  <si>
    <t>0d56c0df-4c73-437f-af20-6070c741d9ca</t>
  </si>
  <si>
    <t>Dummy_zinc dross</t>
  </si>
  <si>
    <t>Dummy_zinc oxide | No location | f77599a5</t>
  </si>
  <si>
    <t>f77599a5-c0e5-4dd4-9f0b-947f58527a06</t>
  </si>
  <si>
    <t>Dummy_zinc oxide</t>
  </si>
  <si>
    <t>Dummy_Waste paper | No location | d441d321</t>
  </si>
  <si>
    <t>d441d321-dc86-4669-99cb-1d7172f01f32</t>
  </si>
  <si>
    <t>Dummy_Waste paper</t>
  </si>
  <si>
    <t>Dummy_Iron scrap | No location | b2ad9bb8</t>
  </si>
  <si>
    <t>b2ad9bb8-1282-497b-8f65-44aedd4814da</t>
  </si>
  <si>
    <t>Dummy_Iron scrap</t>
  </si>
  <si>
    <t>Dummy_Steel scrap (St) | No location | 3184ae41</t>
  </si>
  <si>
    <t>3184ae41-4e62-429b-8b41-092c18155883</t>
  </si>
  <si>
    <t>Dummy_Steel scrap (St)</t>
  </si>
  <si>
    <t>Dummy_Steel scrap | No location | 8c9967ad</t>
  </si>
  <si>
    <t>8c9967ad-7a76-4d08-aa18-47717a812d47</t>
  </si>
  <si>
    <t>Dummy_Steel scrap</t>
  </si>
  <si>
    <t>Dummy_Flue dust | No location | 387e84b3</t>
  </si>
  <si>
    <t>387e84b3-c067-488e-abc8-5b7f2ca19678</t>
  </si>
  <si>
    <t>Dummy_Flue dust</t>
  </si>
  <si>
    <t>Dummy_Battery | No location | 52daf3bf</t>
  </si>
  <si>
    <t>52daf3bf-5c93-405f-97b6-d068e9b4b66d</t>
  </si>
  <si>
    <t>Dummy_Battery</t>
  </si>
  <si>
    <t>Dummy_Lead scrap | No location | 1a4b3c6f</t>
  </si>
  <si>
    <t>1a4b3c6f-cfd1-4fc5-ab94-8dcd731cbd5d</t>
  </si>
  <si>
    <t>Dummy_Lead scrap</t>
  </si>
  <si>
    <t>Dummy_Recycling goods | No location | b39db800</t>
  </si>
  <si>
    <t>b39db800-044e-44e9-817c-ac680af49201</t>
  </si>
  <si>
    <t>Dummy_Recycling goods</t>
  </si>
  <si>
    <t>Dummy_Glass for recovery (shards) | No location | daf91a8c</t>
  </si>
  <si>
    <t>daf91a8c-a1d5-49d2-8d22-fb3d37f4e405</t>
  </si>
  <si>
    <t>Dummy_Glass for recovery (shards)</t>
  </si>
  <si>
    <t>Dummy_printing ink | No location | 52876382</t>
  </si>
  <si>
    <t>52876382-a8a8-4713-9fdd-ef936f471be9</t>
  </si>
  <si>
    <t>Dummy_printing ink</t>
  </si>
  <si>
    <t>Dummy_spoil (unspecified) | No location | 720abee8</t>
  </si>
  <si>
    <t>720abee8-5fa0-4bbc-8b72-e5089d24a28d</t>
  </si>
  <si>
    <t>Dummy_spoil (unspecified)</t>
  </si>
  <si>
    <t>Dummy_carcass meal | No location | c14ac0b9</t>
  </si>
  <si>
    <t>c14ac0b9-e0fc-4ff3-9c49-35f174b7eaef</t>
  </si>
  <si>
    <t>Dummy_carcass meal</t>
  </si>
  <si>
    <t>Dummy_municipal waste (unspecified) | No location | 50272452</t>
  </si>
  <si>
    <t>50272452-d869-4aad-b19d-56a53f58f94c</t>
  </si>
  <si>
    <t>Dummy_municipal waste (unspecified)</t>
  </si>
  <si>
    <t>Dummy_waste paper (unspecified) | No location | 954cd85c</t>
  </si>
  <si>
    <t>954cd85c-6d3f-4f68-ba4a-25e3c0173585</t>
  </si>
  <si>
    <t>Dummy_waste paper (unspecified)</t>
  </si>
  <si>
    <t>Dummy_cullet float glass | No location | f56c88c6</t>
  </si>
  <si>
    <t>f56c88c6-5e1b-4331-9754-3f4216b72a7f</t>
  </si>
  <si>
    <t>Dummy_cullet float glass</t>
  </si>
  <si>
    <t>Dummy_zinc scrap | No location | 5d4914ee</t>
  </si>
  <si>
    <t>5d4914ee-b4cc-4272-9563-1acfad96dcfe</t>
  </si>
  <si>
    <t>Dummy_zinc scrap</t>
  </si>
  <si>
    <t>Dummy_Secondary fuel | No location | 8c5f99c1</t>
  </si>
  <si>
    <t>8c5f99c1-be61-41c9-8c0c-c307f944805e</t>
  </si>
  <si>
    <t>Dummy_Secondary fuel</t>
  </si>
  <si>
    <t>Dummy_Secondary fuel renewable | No location | 96c3f68b</t>
  </si>
  <si>
    <t>96c3f68b-5ce0-4985-bdfd-7c82fcbb8c4c</t>
  </si>
  <si>
    <t>Dummy_Secondary fuel renewable</t>
  </si>
  <si>
    <t>Dummy_cargo | No location | 01d0b4aa</t>
  </si>
  <si>
    <t>01d0b4aa-19c4-41c2-a5f0-e1b1364680b6</t>
  </si>
  <si>
    <t>Dummy_cargo</t>
  </si>
  <si>
    <t>Dummy_excavated material | No location | 89d4c62c</t>
  </si>
  <si>
    <t>89d4c62c-a6d1-4e33-bedb-7d411baade08</t>
  </si>
  <si>
    <t>Dummy_excavated material</t>
  </si>
  <si>
    <t>Dummy_CaF2 (low radioactice) | No location | 6c85de2d</t>
  </si>
  <si>
    <t>6c85de2d-81b5-4cf0-b175-ad502e19a677</t>
  </si>
  <si>
    <t>Dummy_CaF2 (low radioactice)</t>
  </si>
  <si>
    <t>Dummy_Highly radioactive waste | No location | 99fc0b99</t>
  </si>
  <si>
    <t>99fc0b99-4a0b-4eb3-8dc9-810c797b7680</t>
  </si>
  <si>
    <t>Dummy_Highly radioactive waste</t>
  </si>
  <si>
    <t>Dummy_Medium and low radioactive wastes | No location | 9bc56be3</t>
  </si>
  <si>
    <t>9bc56be3-5cdb-411d-b974-1af6edc81f5f</t>
  </si>
  <si>
    <t>Dummy_Medium and low radioactive wastes</t>
  </si>
  <si>
    <t>Dummy_Plutonium as residual product | No location | 4aceee05</t>
  </si>
  <si>
    <t>4aceee05-641c-44aa-b68d-0d5111682e9b</t>
  </si>
  <si>
    <t>Dummy_Plutonium as residual product</t>
  </si>
  <si>
    <t>Dummy_Radioactive tailings | No location | 133a9673</t>
  </si>
  <si>
    <t>133a9673-7b84-4bee-b2ed-e06335849dbd</t>
  </si>
  <si>
    <t>Dummy_Radioactive tailings</t>
  </si>
  <si>
    <t>Dummy_Slag (Uranium conversion) | No location | b399ff61</t>
  </si>
  <si>
    <t>b399ff61-1557-4fdf-aec3-e495ffe328c5</t>
  </si>
  <si>
    <t>Dummy_Slag (Uranium conversion)</t>
  </si>
  <si>
    <t>Dummy_Waste radioactive | No location | 462bc8d1</t>
  </si>
  <si>
    <t>462bc8d1-d54c-48a1-83ac-fab1610ca182</t>
  </si>
  <si>
    <t>Dummy_Waste radioactive</t>
  </si>
  <si>
    <t>Dummy_Uranium depleted | No location | 74067b4d</t>
  </si>
  <si>
    <t>74067b4d-04a9-4be7-b7d6-2addf58491e6</t>
  </si>
  <si>
    <t>Dummy_Uranium depleted</t>
  </si>
  <si>
    <t>Dummy_Low radioactive wastes | No location | ca59164f</t>
  </si>
  <si>
    <t>ca59164f-9a48-48e1-8602-cf20751173e5</t>
  </si>
  <si>
    <t>Dummy_Low radioactive wastes</t>
  </si>
  <si>
    <t>Dummy_Tailings | No location | 4720fb55</t>
  </si>
  <si>
    <t>4720fb55-63c4-4b5f-a806-5784628c41af</t>
  </si>
  <si>
    <t>Dummy_Tailings</t>
  </si>
  <si>
    <t>Dummy_Chemicals (unspecified) | No location | c4b74d4f</t>
  </si>
  <si>
    <t>c4b74d4f-09b4-44e2-b023-d58df3bfa277</t>
  </si>
  <si>
    <t>Dummy_Chemicals (unspecified)</t>
  </si>
  <si>
    <t>Dummy_Mineral waste | No location | 130605cf</t>
  </si>
  <si>
    <t>130605cf-52f6-4d73-a4ff-f8ee0fac9730</t>
  </si>
  <si>
    <t>Dummy_Mineral waste</t>
  </si>
  <si>
    <t>Dummy_Plastic (unspecified) | No location | 67509a1c</t>
  </si>
  <si>
    <t>67509a1c-9093-4d94-9e25-5cf4ef45f06e</t>
  </si>
  <si>
    <t>Dummy_Plastic (unspecified)</t>
  </si>
  <si>
    <t>Dummy_Wood | No location | eafc1196</t>
  </si>
  <si>
    <t>eafc1196-6888-4f82-aa7c-6012ba1b2fe4</t>
  </si>
  <si>
    <t>Dummy_Wood</t>
  </si>
  <si>
    <t>Dummy_Wooden pallet (EURO) | No location | 9cdee12d</t>
  </si>
  <si>
    <t>9cdee12d-29bf-4621-87d9-52ebbef06070</t>
  </si>
  <si>
    <t>Dummy_Wooden pallet (EURO)</t>
  </si>
  <si>
    <t>Dummy_unspecified radioactive waste | No location | a7840e27</t>
  </si>
  <si>
    <t>a7840e27-7e1e-4777-b1f2-584a44047300</t>
  </si>
  <si>
    <t>Dummy_unspecified radioactive waste</t>
  </si>
  <si>
    <t>Dummy_Aluminum oxide (alumina) | No location | 660ef88c</t>
  </si>
  <si>
    <t>660ef88c-5dbe-4cb3-9c25-c4ba145c9638</t>
  </si>
  <si>
    <t>Dummy_Aluminum oxide (alumina)</t>
  </si>
  <si>
    <t>Dummy_BF Slag | No location | 4bdb4ecf</t>
  </si>
  <si>
    <t>4bdb4ecf-a7ec-4b56-b0c2-4bced6002292</t>
  </si>
  <si>
    <t>Dummy_BF Slag</t>
  </si>
  <si>
    <t>Dummy_BOF Gas Dust | No location | bd28ae84</t>
  </si>
  <si>
    <t>bd28ae84-0b57-4e5b-9cd8-52e95d855b7a</t>
  </si>
  <si>
    <t>Dummy_BOF Gas Dust</t>
  </si>
  <si>
    <t>Dummy_BOF Slag | No location | c43244e0</t>
  </si>
  <si>
    <t>c43244e0-5526-4209-b35a-afe13ede2078</t>
  </si>
  <si>
    <t>Dummy_BOF Slag</t>
  </si>
  <si>
    <t>Dummy_BOF Slag | No location | 5a0906d2</t>
  </si>
  <si>
    <t>5a0906d2-2e33-4033-b3de-8a16b4b3a64e</t>
  </si>
  <si>
    <t>Dummy_Cooling water | No location | e0bfe0d2</t>
  </si>
  <si>
    <t>e0bfe0d2-e3cc-487d-9f0d-6720b8ff5416</t>
  </si>
  <si>
    <t>Dummy_Cooling water</t>
  </si>
  <si>
    <t>Dummy_Cryolite | No location | f7af9367</t>
  </si>
  <si>
    <t>f7af9367-da6e-4e8c-8759-ab14c7670b6d</t>
  </si>
  <si>
    <t>Dummy_Cryolite</t>
  </si>
  <si>
    <t>Dummy_Gypsum | No location | b620ba10</t>
  </si>
  <si>
    <t>b620ba10-1366-49de-a9c4-23704912512d</t>
  </si>
  <si>
    <t>Dummy_Gypsum</t>
  </si>
  <si>
    <t>Dummy_Gypsum (FDI) | No location | 71d3e44a</t>
  </si>
  <si>
    <t>71d3e44a-f139-4fa7-bed4-b5a83cccba71</t>
  </si>
  <si>
    <t>Dummy_Gypsum (FDI)</t>
  </si>
  <si>
    <t>Dummy_Hazardous non organic waste for disposal (unspecific) | No location | 35f2ee05</t>
  </si>
  <si>
    <t>35f2ee05-8e77-4e17-af4b-2949312421d7</t>
  </si>
  <si>
    <t>Dummy_Hazardous non organic waste for disposal (unspecific)</t>
  </si>
  <si>
    <t>Dummy_Hazardous organic waste for disposal (unspecific) | No location | 819dfe46</t>
  </si>
  <si>
    <t>819dfe46-f5e4-4e53-99eb-2a953261e0dc</t>
  </si>
  <si>
    <t>Dummy_Hazardous organic waste for disposal (unspecific)</t>
  </si>
  <si>
    <t>Dummy_Hazardous waste (unspec.) | No location | bec982c2</t>
  </si>
  <si>
    <t>bec982c2-d105-4365-b78e-6abaca678f3f</t>
  </si>
  <si>
    <t>Dummy_Hazardous waste (unspec.)</t>
  </si>
  <si>
    <t>Dummy_Neutralized residues | No location | 23e778c8</t>
  </si>
  <si>
    <t>23e778c8-e205-4478-8c4a-377cefebf66c</t>
  </si>
  <si>
    <t>Dummy_Neutralized residues</t>
  </si>
  <si>
    <t>Dummy_Non Hazardous non organic waste for disposal (unspecific sludges and dusts) | No location | 7d1f26c0</t>
  </si>
  <si>
    <t>7d1f26c0-9df8-41cf-a136-203f0503d217</t>
  </si>
  <si>
    <t>Dummy_Non Hazardous non organic waste for disposal (unspecific sludges and dusts)</t>
  </si>
  <si>
    <t>Dummy_Production residues (unspecified) | No location | a79bb190</t>
  </si>
  <si>
    <t>a79bb190-a276-4485-a2b0-23f03b04b9b2</t>
  </si>
  <si>
    <t>Dummy_Production residues (unspecified)</t>
  </si>
  <si>
    <t>Dummy_Rolling gravel | No location | d30793ee</t>
  </si>
  <si>
    <t>d30793ee-3dbd-4312-ac7a-de9b375e00f8</t>
  </si>
  <si>
    <t>Dummy_Rolling gravel</t>
  </si>
  <si>
    <t>Dummy_Rolling tinder | No location | 415c6421</t>
  </si>
  <si>
    <t>415c6421-f1b4-4f01-bf02-559cc8349213</t>
  </si>
  <si>
    <t>Dummy_Rolling tinder</t>
  </si>
  <si>
    <t>Dummy_Secondary Steel Making Slag | No location | e54614fb</t>
  </si>
  <si>
    <t>e54614fb-c9a6-4c1a-b80d-d91917fc8b95</t>
  </si>
  <si>
    <t>Dummy_Secondary Steel Making Slag</t>
  </si>
  <si>
    <t>Dummy_Sinter / Pellet Dust | No location | 4118a448</t>
  </si>
  <si>
    <t>4118a448-7096-4796-aec6-f37c0117e2ef</t>
  </si>
  <si>
    <t>Dummy_Sinter / Pellet Dust</t>
  </si>
  <si>
    <t>Dummy_Slag | No location | a823108d</t>
  </si>
  <si>
    <t>a823108d-3615-43e0-b804-d59fd7dec5a6</t>
  </si>
  <si>
    <t>Dummy_Slag</t>
  </si>
  <si>
    <t>Dummy_Slag (containing precious metal) | No location | 34c1d961</t>
  </si>
  <si>
    <t>34c1d961-b141-41f8-aca8-ba8aed9a72bb</t>
  </si>
  <si>
    <t>Dummy_Slag (containing precious metal)</t>
  </si>
  <si>
    <t>Dummy_Slag (containing V) | No location | cbd9d698</t>
  </si>
  <si>
    <t>cbd9d698-7eea-407e-82a6-b3bcf36c5659</t>
  </si>
  <si>
    <t>Dummy_Slag (containing V)</t>
  </si>
  <si>
    <t>Dummy_Slag (Iron plate production) | No location | 86d52f3e</t>
  </si>
  <si>
    <t>86d52f3e-2408-4ee2-b14b-0dbb289ea4fa</t>
  </si>
  <si>
    <t>Dummy_Slag (Iron plate production)</t>
  </si>
  <si>
    <t>Dummy_Slag (Mn 6,5%) | No location | 438aa6bc</t>
  </si>
  <si>
    <t>438aa6bc-6b26-4b59-942b-7e9c94c1ef01</t>
  </si>
  <si>
    <t>Dummy_Slag (Mn 6,5%)</t>
  </si>
  <si>
    <t>Dummy_Sludge | No location | 6cd2cbe2</t>
  </si>
  <si>
    <t>6cd2cbe2-6958-4bfc-8e78-bae40efd345b</t>
  </si>
  <si>
    <t>Dummy_Sludge</t>
  </si>
  <si>
    <t>Dummy_Sludge (from processing) | No location | 75d94e95</t>
  </si>
  <si>
    <t>75d94e95-45d4-4f16-adbe-2443ad9ae49e</t>
  </si>
  <si>
    <t>Dummy_Sludge (from processing)</t>
  </si>
  <si>
    <t>Dummy_Waste for recovery (unspecific) | No location | 88267d7f</t>
  </si>
  <si>
    <t>88267d7f-23eb-4f11-97ed-4aeb680c3b3d</t>
  </si>
  <si>
    <t>Dummy_Waste for recovery (unspecific)</t>
  </si>
  <si>
    <t>Dummy_Gypsum (contaminated) | No location | 26c61d04</t>
  </si>
  <si>
    <t>26c61d04-0795-4167-a751-5038102dbcc8</t>
  </si>
  <si>
    <t>Dummy_Gypsum (contaminated)</t>
  </si>
  <si>
    <t>Dummy_Slag (containing Pb) | No location | def90a49</t>
  </si>
  <si>
    <t>def90a49-6077-44e9-a786-2bd931d54caf</t>
  </si>
  <si>
    <t>Dummy_Slag (containing Pb)</t>
  </si>
  <si>
    <t>Dummy_Sulphuric acid | No location | 377fc7f4</t>
  </si>
  <si>
    <t>377fc7f4-9fab-4bda-b274-a5a080f49715</t>
  </si>
  <si>
    <t>Dummy_Sulphuric acid</t>
  </si>
  <si>
    <t>Dummy_Slag (unspecified) | No location | 3bc78351</t>
  </si>
  <si>
    <t>3bc78351-1a79-4bf6-93dd-cf27c1d928ac</t>
  </si>
  <si>
    <t>Dummy_Slag (unspecified)</t>
  </si>
  <si>
    <t>Dummy_Hazardous waste (underground deposit) | No location | 685b7733</t>
  </si>
  <si>
    <t>685b7733-5809-45c5-80d0-9f98762eaa1e</t>
  </si>
  <si>
    <t>Dummy_Hazardous waste (underground deposit)</t>
  </si>
  <si>
    <t>Dummy_Aluminum scrap | No location | 963722c3</t>
  </si>
  <si>
    <t>963722c3-b6e3-4af3-b0dd-c77e6154c9e3</t>
  </si>
  <si>
    <t>Dummy_Aluminum scrap</t>
  </si>
  <si>
    <t>Dummy_BF Gas Sludge | No location | d116d72a</t>
  </si>
  <si>
    <t>d116d72a-4d1b-49da-895d-da0b70b905b2</t>
  </si>
  <si>
    <t>Dummy_BF Gas Sludge</t>
  </si>
  <si>
    <t>Dummy_BF Shop Dust | No location | c8379a7d</t>
  </si>
  <si>
    <t>c8379a7d-9f71-4e93-aedb-a4e33ed9d997</t>
  </si>
  <si>
    <t>Dummy_BF Shop Dust</t>
  </si>
  <si>
    <t>Dummy_Chromium Solution | No location | 05d5a99d</t>
  </si>
  <si>
    <t>05d5a99d-c213-4f7c-a7d3-97a0c8999220</t>
  </si>
  <si>
    <t>Dummy_Chromium Solution</t>
  </si>
  <si>
    <t>Dummy_Cold rolling emulsion treatment sludge | No location | 26f37a60</t>
  </si>
  <si>
    <t>26f37a60-d20e-467a-a6ce-0c4ec5dfc6ab</t>
  </si>
  <si>
    <t>Dummy_Cold rolling emulsion treatment sludge</t>
  </si>
  <si>
    <t>Dummy_Cold Rolling Sludge | No location | 2f2475b4</t>
  </si>
  <si>
    <t>2f2475b4-5d27-43cf-83fc-0998b857701a</t>
  </si>
  <si>
    <t>Dummy_Cold Rolling Sludge</t>
  </si>
  <si>
    <t>Dummy_Continuous Casting Sludge | No location | 65ce2c8e</t>
  </si>
  <si>
    <t>65ce2c8e-4dcc-4f43-9612-86a5eb5893f6</t>
  </si>
  <si>
    <t>Dummy_Continuous Casting Sludge</t>
  </si>
  <si>
    <t>Dummy_Hot Rolling Sludge | No location | 566f864d</t>
  </si>
  <si>
    <t>566f864d-9194-4c39-8f06-bfb6184f7d1c</t>
  </si>
  <si>
    <t>Dummy_Hot Rolling Sludge</t>
  </si>
  <si>
    <t>Dummy_Pickled hot rolled coil sludge | No location | 1d1fe91b</t>
  </si>
  <si>
    <t>1d1fe91b-75cf-4ef3-9532-0d5d31640a10</t>
  </si>
  <si>
    <t>Dummy_Pickled hot rolled coil sludge</t>
  </si>
  <si>
    <t>Dummy_Slag | No location | dd708a4f</t>
  </si>
  <si>
    <t>dd708a4f-c231-4152-839c-b571fe204ed9</t>
  </si>
  <si>
    <t>Dummy_Scoria | No location | 10bbadfc</t>
  </si>
  <si>
    <t>10bbadfc-7d10-4b5f-af6e-72ee57c48780</t>
  </si>
  <si>
    <t>Dummy_Scoria</t>
  </si>
  <si>
    <t>Dummy_Medium and low radioactive liquid waste | No location | a5a931f5</t>
  </si>
  <si>
    <t>a5a931f5-3050-4a0a-b063-86849862abeb</t>
  </si>
  <si>
    <t>Dummy_Medium and low radioactive liquid waste</t>
  </si>
  <si>
    <t>Dummy_Waste (solid) | No location | 2b7783cd</t>
  </si>
  <si>
    <t>2b7783cd-3128-4d57-9a04-42f94e89e4bf</t>
  </si>
  <si>
    <t>Dummy_Waste (solid)</t>
  </si>
  <si>
    <t>Dummy_Steel scrap (external supply) | No location | 34f2d06e</t>
  </si>
  <si>
    <t>34f2d06e-8bfe-4af0-bf23-3e01c73bb7b1</t>
  </si>
  <si>
    <t>Dummy_Steel scrap (external supply)</t>
  </si>
  <si>
    <t>Dummy_EAF Dust | No location | 168babaf</t>
  </si>
  <si>
    <t>168babaf-191e-4872-b2ff-d62dc39fff62</t>
  </si>
  <si>
    <t>Dummy_EAF Dust</t>
  </si>
  <si>
    <t>Dummy_Refractory | No location | 00904c02</t>
  </si>
  <si>
    <t>00904c02-6e6c-4fe9-a0dd-93fd05dbc018</t>
  </si>
  <si>
    <t>Dummy_Refractory</t>
  </si>
  <si>
    <t>Dummy_Refractory | No location | e0cb4d39</t>
  </si>
  <si>
    <t>e0cb4d39-d74d-4f6f-8b82-80ebbe6dea67</t>
  </si>
  <si>
    <t>Expert Reference Set – Quality Control Summary</t>
  </si>
  <si>
    <t>Result</t>
  </si>
  <si>
    <t>Total BOM items</t>
  </si>
  <si>
    <t>Normalized-material agreement</t>
  </si>
  <si>
    <t>Selected-process agreement</t>
  </si>
  <si>
    <t>Rows with at least one expert disagreement</t>
  </si>
  <si>
    <t>Final reference status</t>
  </si>
  <si>
    <t>Normalized Same?</t>
  </si>
  <si>
    <t>Process Same?</t>
  </si>
  <si>
    <t>Expert Agreement</t>
  </si>
  <si>
    <t>What differs</t>
  </si>
  <si>
    <t>Final Reference Status</t>
  </si>
  <si>
    <t>Choose Direct, Proxy, or Review Required. Use Review Required ONLY when no usable ELCD process is available. If an ELCD process is selected as a substitute rather than an exact match, classify it as Proxy.</t>
  </si>
  <si>
    <t>No usable ELCD process is available. These are the only items eligible for the LLM fallback stage.</t>
  </si>
  <si>
    <t>Important: ELCD_Catalog contains the exported openLCA processes. Direct = suitable ELCD representation; Proxy = selected ELCD substitute; Review Required = process unavailable. Experts should not estimate emission factors here.</t>
  </si>
  <si>
    <t>Final fields are resolved independently. Review Required is used only when no ELCD process is available; when an ELCD process is used as a substitute, the match type is Proxy. Existing Direct matches remain Direct.</t>
  </si>
  <si>
    <t>Match-type agreement</t>
  </si>
  <si>
    <t>Full agreement (normalization + process + match type)</t>
  </si>
  <si>
    <t>Match Type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</si>
</sst>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rlito"/>
    </font>
    <font>
      <b/>
      <sz val="14"/>
      <color rgb="FFFFFFFF"/>
      <name val="Carlito"/>
    </font>
    <font>
      <b/>
      <sz val="11"/>
      <name val="Carlito"/>
    </font>
    <font>
      <b/>
      <sz val="11"/>
      <color rgb="FF1F1F1F"/>
      <name val="Carlito"/>
    </font>
    <font>
      <b/>
      <sz val="11"/>
      <color rgb="FFFFFFFF"/>
      <name val="Carlito"/>
    </font>
    <font>
      <i/>
      <sz val="11"/>
      <color rgb="FF44546A"/>
      <name val="Carlito"/>
    </font>
    <font>
      <sz val="12"/>
      <name val="Times New Roman"/>
    </font>
    <font>
      <b/>
      <sz val="12"/>
      <color rgb="FF1F1F1F"/>
      <name val="Times New Roman"/>
    </font>
    <font>
      <b/>
      <sz val="14"/>
      <color rgb="FFFF0000"/>
      <name val="Times New Roman"/>
    </font>
    <font>
      <b/>
      <sz val="12"/>
      <color rgb="FF000000"/>
      <name val="Times New Roman"/>
    </font>
    <font>
      <b/>
      <sz val="11"/>
      <color rgb="FF000000"/>
      <name val="Carlito"/>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FCE4D6"/>
      </patternFill>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
      <patternFill patternType="solid">
        <fgColor rgb="FFFCE4D6"/>
      </patternFill>
    </fill>
    <fill>
      <patternFill patternType="solid">
        <fgColor rgb="FFF2F2F2"/>
      </patternFill>
    </fill>
    <fill>
      <patternFill patternType="solid">
        <fgColor rgb="FFDDEBF7"/>
      </patternFill>
    </fill>
    <fill>
      <patternFill patternType="solid">
        <fgColor rgb="FFEAF2F8"/>
      </patternFill>
    </fill>
    <fill>
      <patternFill patternType="solid">
        <fgColor rgb="FFD9EAF7"/>
      </patternFill>
    </fill>
  </fills>
  <borders count="5">
    <border>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hair">
        <color rgb="FFD9D9D9"/>
      </bottom>
      <diagonal/>
    </border>
    <border>
      <left/>
      <right/>
      <top style="thin">
        <color rgb="FFA6A6A6"/>
      </top>
      <bottom style="thin">
        <color rgb="FFA6A6A6"/>
      </bottom>
      <diagonal/>
    </border>
  </borders>
  <cellStyleXfs count="1">
    <xf numFmtId="0" fontId="0" fillId="0" borderId="0"/>
  </cellStyleXfs>
  <cellXfs count="37">
    <xf numFmtId="0" fontId="0" fillId="0" borderId="0" xfId="0"/>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3" xfId="0" applyBorder="1" applyAlignment="1">
      <alignment vertical="top" wrapText="1"/>
    </xf>
    <xf numFmtId="0" fontId="2" fillId="4" borderId="0" xfId="0" applyFont="1" applyFill="1" applyAlignment="1">
      <alignment vertical="center" wrapText="1"/>
    </xf>
    <xf numFmtId="0" fontId="4" fillId="5" borderId="0" xfId="0" applyFont="1" applyFill="1" applyAlignment="1">
      <alignment horizontal="center" vertical="center" wrapText="1"/>
    </xf>
    <xf numFmtId="0" fontId="2" fillId="6" borderId="0" xfId="0" applyFont="1" applyFill="1" applyAlignment="1">
      <alignment wrapText="1"/>
    </xf>
    <xf numFmtId="0" fontId="0" fillId="7" borderId="0" xfId="0" applyFill="1" applyAlignment="1">
      <alignment vertical="top" wrapText="1"/>
    </xf>
    <xf numFmtId="0" fontId="0" fillId="7" borderId="3" xfId="0" applyFill="1" applyBorder="1" applyAlignment="1">
      <alignment vertical="top" wrapText="1"/>
    </xf>
    <xf numFmtId="0" fontId="0" fillId="8" borderId="0" xfId="0" applyFill="1" applyAlignment="1">
      <alignment vertical="top" wrapText="1"/>
    </xf>
    <xf numFmtId="0" fontId="0" fillId="8" borderId="3" xfId="0" applyFill="1" applyBorder="1" applyAlignment="1">
      <alignment vertical="top" wrapText="1"/>
    </xf>
    <xf numFmtId="0" fontId="1" fillId="5" borderId="0" xfId="0" applyFont="1" applyFill="1" applyAlignment="1">
      <alignment horizontal="center" vertical="center"/>
    </xf>
    <xf numFmtId="0" fontId="3"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2" fillId="6" borderId="0" xfId="0" applyFont="1" applyFill="1" applyAlignment="1">
      <alignment horizontal="center" vertical="center" wrapText="1"/>
    </xf>
    <xf numFmtId="0" fontId="0" fillId="10" borderId="0" xfId="0" applyFill="1" applyAlignment="1">
      <alignment vertical="top" wrapText="1"/>
    </xf>
    <xf numFmtId="0" fontId="0" fillId="10" borderId="3" xfId="0" applyFill="1" applyBorder="1" applyAlignment="1">
      <alignment vertical="top" wrapText="1"/>
    </xf>
    <xf numFmtId="0" fontId="0" fillId="11" borderId="0" xfId="0" applyFill="1" applyAlignment="1">
      <alignment vertical="top" wrapText="1"/>
    </xf>
    <xf numFmtId="0" fontId="0" fillId="11" borderId="3" xfId="0" applyFill="1" applyBorder="1" applyAlignment="1">
      <alignment vertical="top" wrapText="1"/>
    </xf>
    <xf numFmtId="164" fontId="0" fillId="0" borderId="0" xfId="0" applyNumberFormat="1" applyAlignment="1">
      <alignment wrapText="1"/>
    </xf>
    <xf numFmtId="0" fontId="6" fillId="0" borderId="0" xfId="0" applyFont="1"/>
    <xf numFmtId="0" fontId="6" fillId="0" borderId="0" xfId="0" applyFont="1" applyAlignment="1">
      <alignment wrapText="1"/>
    </xf>
    <xf numFmtId="0" fontId="7" fillId="0" borderId="0" xfId="0" applyFont="1" applyAlignment="1">
      <alignment horizontal="center" vertical="center" wrapText="1"/>
    </xf>
    <xf numFmtId="0" fontId="9" fillId="13" borderId="0" xfId="0" applyFont="1" applyFill="1" applyAlignment="1">
      <alignment horizontal="center" vertical="top" wrapText="1"/>
    </xf>
    <xf numFmtId="0" fontId="10" fillId="13" borderId="0" xfId="0" applyFont="1" applyFill="1" applyAlignment="1">
      <alignment horizontal="center" vertical="top" wrapText="1"/>
    </xf>
    <xf numFmtId="0" fontId="6" fillId="0" borderId="0" xfId="0" applyFont="1" applyAlignment="1">
      <alignment vertical="top" wrapText="1"/>
    </xf>
    <xf numFmtId="0" fontId="1" fillId="2" borderId="0" xfId="0" applyFont="1" applyFill="1" applyAlignment="1">
      <alignment horizontal="center" vertical="center"/>
    </xf>
    <xf numFmtId="0" fontId="2" fillId="0" borderId="0" xfId="0" applyFont="1" applyAlignment="1">
      <alignment wrapText="1"/>
    </xf>
    <xf numFmtId="0" fontId="2" fillId="9" borderId="0" xfId="0" applyFont="1" applyFill="1" applyAlignment="1">
      <alignment vertical="center" wrapText="1"/>
    </xf>
    <xf numFmtId="0" fontId="1" fillId="5" borderId="0" xfId="0" applyFont="1" applyFill="1" applyAlignment="1">
      <alignment horizontal="center" vertical="center" wrapText="1"/>
    </xf>
    <xf numFmtId="0" fontId="5" fillId="12" borderId="0" xfId="0" applyFont="1" applyFill="1" applyAlignment="1">
      <alignment horizontal="left" vertical="center" wrapText="1"/>
    </xf>
    <xf numFmtId="0" fontId="8" fillId="0" borderId="0" xfId="0" applyFont="1" applyAlignment="1">
      <alignment horizontal="center" vertical="center" wrapText="1"/>
    </xf>
    <xf numFmtId="0" fontId="9" fillId="13" borderId="0" xfId="0" applyFont="1" applyFill="1" applyAlignment="1">
      <alignment horizontal="center" vertical="center" wrapText="1"/>
    </xf>
    <xf numFmtId="0" fontId="6" fillId="0" borderId="0" xfId="0" applyFont="1" applyAlignment="1">
      <alignment vertical="center" wrapText="1"/>
    </xf>
  </cellXfs>
  <cellStyles count="1">
    <cellStyle name="Normal" xfId="0" builtinId="0"/>
  </cellStyles>
  <dxfs count="12">
    <dxf>
      <font>
        <b/>
        <color rgb="FFC00000"/>
      </font>
      <fill>
        <patternFill>
          <bgColor rgb="FFFCE4D6"/>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375623"/>
      </font>
      <fill>
        <patternFill>
          <bgColor rgb="FFE2F0D9"/>
        </patternFill>
      </fill>
    </dxf>
    <dxf>
      <fill>
        <patternFill>
          <bgColor rgb="FFF4CCCC"/>
        </patternFill>
      </fill>
    </dxf>
    <dxf>
      <fill>
        <patternFill>
          <bgColor rgb="FFE2F0D9"/>
        </patternFill>
      </fill>
    </dxf>
    <dxf>
      <font>
        <b/>
      </font>
      <fill>
        <patternFill>
          <bgColor rgb="FFFCE4D6"/>
        </patternFill>
      </fill>
    </dxf>
    <dxf>
      <font>
        <b/>
      </font>
      <fill>
        <patternFill>
          <bgColor rgb="FFE2F0D9"/>
        </patternFill>
      </fill>
    </dxf>
    <dxf>
      <font>
        <b/>
      </font>
      <fill>
        <patternFill>
          <bgColor rgb="FFFCE4D6"/>
        </patternFill>
      </fill>
    </dxf>
    <dxf>
      <font>
        <b/>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LCDProcessCatalog" displayName="ELCDProcessCatalog" ref="A1:G609" totalsRowShown="0">
  <tableColumns count="7">
    <tableColumn id="1" xr3:uid="{00000000-0010-0000-0000-000001000000}" name="Selection Label"/>
    <tableColumn id="2" xr3:uid="{00000000-0010-0000-0000-000002000000}" name="Process UUID"/>
    <tableColumn id="3" xr3:uid="{00000000-0010-0000-0000-000003000000}" name="Process Name"/>
    <tableColumn id="4" xr3:uid="{00000000-0010-0000-0000-000004000000}" name="Location"/>
    <tableColumn id="5" xr3:uid="{00000000-0010-0000-0000-000005000000}" name="Process Type"/>
    <tableColumn id="6" xr3:uid="{00000000-0010-0000-0000-000006000000}" name="Category"/>
    <tableColumn id="7" xr3:uid="{00000000-0010-0000-0000-000007000000}" name="Libra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sqref="A1:F1"/>
    </sheetView>
  </sheetViews>
  <sheetFormatPr defaultRowHeight="13.8"/>
  <cols>
    <col min="1" max="1" width="14" customWidth="1"/>
    <col min="2" max="2" width="58" customWidth="1"/>
    <col min="3" max="3" width="4" customWidth="1"/>
    <col min="4" max="4" width="18" customWidth="1"/>
    <col min="5" max="5" width="55" customWidth="1"/>
    <col min="6" max="6" width="4" customWidth="1"/>
  </cols>
  <sheetData>
    <row r="1" spans="1:7" ht="17.399999999999999">
      <c r="A1" s="29" t="s">
        <v>0</v>
      </c>
      <c r="B1" s="29"/>
      <c r="C1" s="29"/>
      <c r="D1" s="29"/>
      <c r="E1" s="29"/>
      <c r="F1" s="29"/>
    </row>
    <row r="3" spans="1:7">
      <c r="A3" s="30" t="s">
        <v>1</v>
      </c>
      <c r="B3" s="30"/>
      <c r="C3" s="30"/>
      <c r="D3" s="30"/>
      <c r="E3" s="30"/>
      <c r="F3" s="30"/>
    </row>
    <row r="5" spans="1:7">
      <c r="A5" s="1" t="s">
        <v>2</v>
      </c>
      <c r="B5" s="2" t="s">
        <v>3</v>
      </c>
      <c r="D5" s="1" t="s">
        <v>4</v>
      </c>
      <c r="E5" s="2" t="s">
        <v>5</v>
      </c>
    </row>
    <row r="6" spans="1:7" ht="27.6">
      <c r="A6" s="4">
        <v>1</v>
      </c>
      <c r="B6" s="4" t="s">
        <v>6</v>
      </c>
      <c r="D6" s="4" t="s">
        <v>7</v>
      </c>
      <c r="E6" s="4" t="s">
        <v>8</v>
      </c>
      <c r="G6">
        <v>5</v>
      </c>
    </row>
    <row r="7" spans="1:7" ht="27.6">
      <c r="A7" s="4">
        <v>2</v>
      </c>
      <c r="B7" s="4" t="s">
        <v>9</v>
      </c>
      <c r="D7" s="4" t="s">
        <v>10</v>
      </c>
      <c r="E7" s="4" t="s">
        <v>11</v>
      </c>
    </row>
    <row r="8" spans="1:7" ht="55.2">
      <c r="A8" s="4">
        <v>3</v>
      </c>
      <c r="B8" s="4" t="s">
        <v>1740</v>
      </c>
      <c r="D8" s="4" t="s">
        <v>12</v>
      </c>
      <c r="E8" s="4" t="s">
        <v>1741</v>
      </c>
    </row>
    <row r="9" spans="1:7" ht="69">
      <c r="A9" s="4">
        <v>4</v>
      </c>
      <c r="B9" s="5" t="s">
        <v>13</v>
      </c>
      <c r="D9" s="5" t="s">
        <v>14</v>
      </c>
      <c r="E9" s="5" t="s">
        <v>15</v>
      </c>
    </row>
    <row r="11" spans="1:7">
      <c r="A11" s="31" t="s">
        <v>16</v>
      </c>
      <c r="B11" s="31" t="s">
        <v>1742</v>
      </c>
      <c r="C11" s="31"/>
      <c r="D11" s="31"/>
      <c r="E11" s="31"/>
      <c r="F11" s="6"/>
    </row>
  </sheetData>
  <mergeCells count="3">
    <mergeCell ref="A1:F1"/>
    <mergeCell ref="A3:F3"/>
    <mergeCell ref="A11: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topLeftCell="D17" workbookViewId="0">
      <selection sqref="A1:K1"/>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38" customWidth="1"/>
    <col min="9" max="9" width="18" customWidth="1"/>
    <col min="10" max="10" width="12" customWidth="1"/>
    <col min="11" max="11" width="34" customWidth="1"/>
  </cols>
  <sheetData>
    <row r="1" spans="1:11" ht="17.399999999999999">
      <c r="A1" s="32" t="s">
        <v>17</v>
      </c>
      <c r="B1" s="32"/>
      <c r="C1" s="32"/>
      <c r="D1" s="32"/>
      <c r="E1" s="32"/>
      <c r="F1" s="32"/>
      <c r="G1" s="32"/>
      <c r="H1" s="32"/>
      <c r="I1" s="32"/>
      <c r="J1" s="32"/>
      <c r="K1" s="32"/>
    </row>
    <row r="2" spans="1:11">
      <c r="A2" s="3"/>
      <c r="B2" s="3"/>
      <c r="C2" s="3"/>
      <c r="D2" s="3"/>
      <c r="E2" s="3"/>
      <c r="F2" s="3"/>
      <c r="G2" s="3"/>
      <c r="H2" s="3"/>
      <c r="I2" s="3"/>
      <c r="J2" s="3"/>
      <c r="K2" s="3"/>
    </row>
    <row r="3" spans="1:11">
      <c r="A3" s="3"/>
      <c r="B3" s="3"/>
      <c r="C3" s="3"/>
      <c r="D3" s="3"/>
      <c r="E3" s="3"/>
      <c r="F3" s="3"/>
      <c r="G3" s="3"/>
      <c r="H3" s="3"/>
      <c r="I3" s="3"/>
      <c r="J3" s="3"/>
      <c r="K3" s="3"/>
    </row>
    <row r="4" spans="1:11">
      <c r="A4" s="14" t="s">
        <v>18</v>
      </c>
      <c r="B4" s="16" t="s">
        <v>19</v>
      </c>
      <c r="C4" s="16" t="s">
        <v>20</v>
      </c>
      <c r="D4" s="16" t="s">
        <v>21</v>
      </c>
      <c r="E4" s="16" t="s">
        <v>22</v>
      </c>
      <c r="F4" s="16" t="s">
        <v>23</v>
      </c>
      <c r="G4" s="16" t="s">
        <v>24</v>
      </c>
      <c r="H4" s="16" t="s">
        <v>25</v>
      </c>
      <c r="I4" s="16" t="s">
        <v>26</v>
      </c>
      <c r="J4" s="16" t="s">
        <v>14</v>
      </c>
      <c r="K4" s="15" t="s">
        <v>27</v>
      </c>
    </row>
    <row r="5" spans="1:11" ht="27.6">
      <c r="A5" s="4" t="s">
        <v>28</v>
      </c>
      <c r="B5" s="4" t="s">
        <v>29</v>
      </c>
      <c r="C5" s="4" t="s">
        <v>30</v>
      </c>
      <c r="D5" s="4">
        <v>5000</v>
      </c>
      <c r="E5" s="4" t="s">
        <v>31</v>
      </c>
      <c r="F5" s="9" t="s">
        <v>32</v>
      </c>
      <c r="G5" s="9" t="s">
        <v>622</v>
      </c>
      <c r="H5" s="11" t="str">
        <f>IF(G5="","",IFERROR(VLOOKUP(G5,ELCD_Catalog!$A$2:$B$609,2,FALSE),""))</f>
        <v>600573dd-dfa5-44e5-b458-8727e793ffd7</v>
      </c>
      <c r="I5" s="9" t="s">
        <v>7</v>
      </c>
      <c r="J5" s="9" t="s">
        <v>33</v>
      </c>
      <c r="K5" s="9"/>
    </row>
    <row r="6" spans="1:11" ht="27.6">
      <c r="A6" s="4" t="s">
        <v>34</v>
      </c>
      <c r="B6" s="4" t="s">
        <v>29</v>
      </c>
      <c r="C6" s="4" t="s">
        <v>35</v>
      </c>
      <c r="D6" s="4">
        <v>24000</v>
      </c>
      <c r="E6" s="4" t="s">
        <v>31</v>
      </c>
      <c r="F6" s="9" t="s">
        <v>36</v>
      </c>
      <c r="G6" s="9" t="s">
        <v>795</v>
      </c>
      <c r="H6" s="11" t="str">
        <f>IF(G6="","",IFERROR(VLOOKUP(G6,ELCD_Catalog!$A$2:$B$609,2,FALSE),""))</f>
        <v>898618b1-3306-11dd-bd11-0800200c9a66</v>
      </c>
      <c r="I6" s="9" t="s">
        <v>7</v>
      </c>
      <c r="J6" s="9" t="s">
        <v>33</v>
      </c>
      <c r="K6" s="9"/>
    </row>
    <row r="7" spans="1:11" ht="27.6">
      <c r="A7" s="4" t="s">
        <v>37</v>
      </c>
      <c r="B7" s="4" t="s">
        <v>29</v>
      </c>
      <c r="C7" s="4" t="s">
        <v>38</v>
      </c>
      <c r="D7" s="4">
        <v>12</v>
      </c>
      <c r="E7" s="4" t="s">
        <v>39</v>
      </c>
      <c r="F7" s="9" t="s">
        <v>40</v>
      </c>
      <c r="G7" s="9" t="s">
        <v>798</v>
      </c>
      <c r="H7" s="11" t="str">
        <f>IF(G7="","",IFERROR(VLOOKUP(G7,ELCD_Catalog!$A$2:$B$609,2,FALSE),""))</f>
        <v>898618b2-3306-11dd-bd11-0800200c9a66</v>
      </c>
      <c r="I7" s="9" t="s">
        <v>7</v>
      </c>
      <c r="J7" s="9" t="s">
        <v>33</v>
      </c>
      <c r="K7" s="9"/>
    </row>
    <row r="8" spans="1:11" ht="27.6">
      <c r="A8" s="4" t="s">
        <v>41</v>
      </c>
      <c r="B8" s="4" t="s">
        <v>29</v>
      </c>
      <c r="C8" s="4" t="s">
        <v>42</v>
      </c>
      <c r="D8" s="4">
        <v>12</v>
      </c>
      <c r="E8" s="4" t="s">
        <v>39</v>
      </c>
      <c r="F8" s="9" t="s">
        <v>42</v>
      </c>
      <c r="G8" s="9" t="s">
        <v>801</v>
      </c>
      <c r="H8" s="11" t="str">
        <f>IF(G8="","",IFERROR(VLOOKUP(G8,ELCD_Catalog!$A$2:$B$609,2,FALSE),""))</f>
        <v>898618b3-3306-11dd-bd11-0800200c9a66</v>
      </c>
      <c r="I8" s="9" t="s">
        <v>10</v>
      </c>
      <c r="J8" s="9" t="s">
        <v>43</v>
      </c>
      <c r="K8" s="9" t="s">
        <v>44</v>
      </c>
    </row>
    <row r="9" spans="1:11" ht="41.4">
      <c r="A9" s="4" t="s">
        <v>45</v>
      </c>
      <c r="B9" s="4" t="s">
        <v>29</v>
      </c>
      <c r="C9" s="4" t="s">
        <v>46</v>
      </c>
      <c r="D9" s="4">
        <v>1.6</v>
      </c>
      <c r="E9" s="4" t="s">
        <v>39</v>
      </c>
      <c r="F9" s="9" t="s">
        <v>47</v>
      </c>
      <c r="G9" s="9" t="s">
        <v>792</v>
      </c>
      <c r="H9" s="11" t="str">
        <f>IF(G9="","",IFERROR(VLOOKUP(G9,ELCD_Catalog!$A$2:$B$609,2,FALSE),""))</f>
        <v>898618b0-3306-11dd-bd11-0800200c9a66</v>
      </c>
      <c r="I9" s="9" t="s">
        <v>7</v>
      </c>
      <c r="J9" s="9" t="s">
        <v>33</v>
      </c>
      <c r="K9" s="9"/>
    </row>
    <row r="10" spans="1:11" ht="41.4">
      <c r="A10" s="4" t="s">
        <v>48</v>
      </c>
      <c r="B10" s="4" t="s">
        <v>29</v>
      </c>
      <c r="C10" s="4" t="s">
        <v>49</v>
      </c>
      <c r="D10" s="4">
        <v>3512.34</v>
      </c>
      <c r="E10" s="4" t="s">
        <v>31</v>
      </c>
      <c r="F10" s="9" t="s">
        <v>50</v>
      </c>
      <c r="G10" s="9" t="s">
        <v>601</v>
      </c>
      <c r="H10" s="11" t="str">
        <f>IF(G10="","",IFERROR(VLOOKUP(G10,ELCD_Catalog!$A$2:$B$609,2,FALSE),""))</f>
        <v>5adbdfe6-401f-4dfa-a3ec-1699064adb34</v>
      </c>
      <c r="I10" s="9" t="s">
        <v>10</v>
      </c>
      <c r="J10" s="9" t="s">
        <v>51</v>
      </c>
      <c r="K10" s="9" t="s">
        <v>52</v>
      </c>
    </row>
    <row r="11" spans="1:11" ht="27.6">
      <c r="A11" s="4" t="s">
        <v>53</v>
      </c>
      <c r="B11" s="4" t="s">
        <v>29</v>
      </c>
      <c r="C11" s="4" t="s">
        <v>54</v>
      </c>
      <c r="D11" s="4">
        <v>250</v>
      </c>
      <c r="E11" s="4" t="s">
        <v>31</v>
      </c>
      <c r="F11" s="9" t="s">
        <v>55</v>
      </c>
      <c r="G11" s="9" t="s">
        <v>384</v>
      </c>
      <c r="H11" s="11" t="str">
        <f>IF(G11="","",IFERROR(VLOOKUP(G11,ELCD_Catalog!$A$2:$B$609,2,FALSE),""))</f>
        <v>268a11fb-baf2-4b9e-8867-38bea0e76ef6</v>
      </c>
      <c r="I11" s="9" t="s">
        <v>7</v>
      </c>
      <c r="J11" s="9" t="s">
        <v>33</v>
      </c>
      <c r="K11" s="9"/>
    </row>
    <row r="12" spans="1:11" ht="27.6">
      <c r="A12" s="4" t="s">
        <v>56</v>
      </c>
      <c r="B12" s="4" t="s">
        <v>29</v>
      </c>
      <c r="C12" s="4" t="s">
        <v>57</v>
      </c>
      <c r="D12" s="4">
        <v>5</v>
      </c>
      <c r="E12" s="4" t="s">
        <v>31</v>
      </c>
      <c r="F12" s="9" t="s">
        <v>58</v>
      </c>
      <c r="G12" s="9" t="s">
        <v>155</v>
      </c>
      <c r="H12" s="11" t="str">
        <f>IF(G12="","",IFERROR(VLOOKUP(G12,ELCD_Catalog!$A$2:$B$609,2,FALSE),""))</f>
        <v>11bceac4-b3d8-4048-8e80-b691ecd2c261</v>
      </c>
      <c r="I12" s="9" t="s">
        <v>10</v>
      </c>
      <c r="J12" s="9" t="s">
        <v>51</v>
      </c>
      <c r="K12" s="9" t="s">
        <v>59</v>
      </c>
    </row>
    <row r="13" spans="1:11" ht="27.6">
      <c r="A13" s="4" t="s">
        <v>60</v>
      </c>
      <c r="B13" s="4" t="s">
        <v>29</v>
      </c>
      <c r="C13" s="4" t="s">
        <v>61</v>
      </c>
      <c r="D13" s="4">
        <v>190.71</v>
      </c>
      <c r="E13" s="4" t="s">
        <v>31</v>
      </c>
      <c r="F13" s="9" t="s">
        <v>62</v>
      </c>
      <c r="G13" s="9" t="s">
        <v>1381</v>
      </c>
      <c r="H13" s="11" t="str">
        <f>IF(G13="","",IFERROR(VLOOKUP(G13,ELCD_Catalog!$A$2:$B$609,2,FALSE),""))</f>
        <v>f9d4581e-14de-417e-8f9f-6c74e6f14051</v>
      </c>
      <c r="I13" s="9" t="s">
        <v>10</v>
      </c>
      <c r="J13" s="9" t="s">
        <v>51</v>
      </c>
      <c r="K13" s="9" t="s">
        <v>63</v>
      </c>
    </row>
    <row r="14" spans="1:11" ht="27.6">
      <c r="A14" s="4" t="s">
        <v>64</v>
      </c>
      <c r="B14" s="4" t="s">
        <v>29</v>
      </c>
      <c r="C14" s="4" t="s">
        <v>65</v>
      </c>
      <c r="D14" s="4">
        <v>2.08</v>
      </c>
      <c r="E14" s="4" t="s">
        <v>39</v>
      </c>
      <c r="F14" s="9" t="s">
        <v>66</v>
      </c>
      <c r="G14" s="9" t="s">
        <v>152</v>
      </c>
      <c r="H14" s="11" t="str">
        <f>IF(G14="","",IFERROR(VLOOKUP(G14,ELCD_Catalog!$A$2:$B$609,2,FALSE),""))</f>
        <v>2b61a4d6-bd1d-4ea3-828c-fdbdf5fca1f9</v>
      </c>
      <c r="I14" s="9" t="s">
        <v>10</v>
      </c>
      <c r="J14" s="9" t="s">
        <v>43</v>
      </c>
      <c r="K14" s="9" t="s">
        <v>67</v>
      </c>
    </row>
    <row r="15" spans="1:11">
      <c r="A15" s="4" t="s">
        <v>68</v>
      </c>
      <c r="B15" s="4" t="s">
        <v>29</v>
      </c>
      <c r="C15" s="4" t="s">
        <v>69</v>
      </c>
      <c r="D15" s="4">
        <v>65</v>
      </c>
      <c r="E15" s="4" t="s">
        <v>70</v>
      </c>
      <c r="F15" s="9" t="s">
        <v>71</v>
      </c>
      <c r="G15" s="9" t="s">
        <v>153</v>
      </c>
      <c r="H15" s="11" t="str">
        <f>IF(G15="","",IFERROR(VLOOKUP(G15,ELCD_Catalog!$A$2:$B$609,2,FALSE),""))</f>
        <v/>
      </c>
      <c r="I15" s="9" t="s">
        <v>12</v>
      </c>
      <c r="J15" s="9" t="s">
        <v>51</v>
      </c>
      <c r="K15" s="9"/>
    </row>
    <row r="16" spans="1:11">
      <c r="A16" s="4" t="s">
        <v>72</v>
      </c>
      <c r="B16" s="4" t="s">
        <v>29</v>
      </c>
      <c r="C16" s="4" t="s">
        <v>73</v>
      </c>
      <c r="D16" s="4">
        <v>128</v>
      </c>
      <c r="E16" s="4" t="s">
        <v>70</v>
      </c>
      <c r="F16" s="9" t="s">
        <v>71</v>
      </c>
      <c r="G16" s="9" t="s">
        <v>153</v>
      </c>
      <c r="H16" s="11" t="str">
        <f>IF(G16="","",IFERROR(VLOOKUP(G16,ELCD_Catalog!$A$2:$B$609,2,FALSE),""))</f>
        <v/>
      </c>
      <c r="I16" s="9" t="s">
        <v>12</v>
      </c>
      <c r="J16" s="9" t="s">
        <v>51</v>
      </c>
      <c r="K16" s="9"/>
    </row>
    <row r="17" spans="1:11" ht="27.6">
      <c r="A17" s="4" t="s">
        <v>74</v>
      </c>
      <c r="B17" s="4" t="s">
        <v>75</v>
      </c>
      <c r="C17" s="4" t="s">
        <v>32</v>
      </c>
      <c r="D17" s="4">
        <v>1250</v>
      </c>
      <c r="E17" s="4" t="s">
        <v>31</v>
      </c>
      <c r="F17" s="9" t="s">
        <v>32</v>
      </c>
      <c r="G17" s="9" t="s">
        <v>622</v>
      </c>
      <c r="H17" s="11" t="str">
        <f>IF(G17="","",IFERROR(VLOOKUP(G17,ELCD_Catalog!$A$2:$B$609,2,FALSE),""))</f>
        <v>600573dd-dfa5-44e5-b458-8727e793ffd7</v>
      </c>
      <c r="I17" s="9" t="s">
        <v>7</v>
      </c>
      <c r="J17" s="9" t="s">
        <v>33</v>
      </c>
      <c r="K17" s="9"/>
    </row>
    <row r="18" spans="1:11" ht="27.6">
      <c r="A18" s="4" t="s">
        <v>76</v>
      </c>
      <c r="B18" s="4" t="s">
        <v>75</v>
      </c>
      <c r="C18" s="4" t="s">
        <v>36</v>
      </c>
      <c r="D18" s="4">
        <v>9600</v>
      </c>
      <c r="E18" s="4" t="s">
        <v>31</v>
      </c>
      <c r="F18" s="9" t="s">
        <v>36</v>
      </c>
      <c r="G18" s="9" t="s">
        <v>795</v>
      </c>
      <c r="H18" s="11" t="str">
        <f>IF(G18="","",IFERROR(VLOOKUP(G18,ELCD_Catalog!$A$2:$B$609,2,FALSE),""))</f>
        <v>898618b1-3306-11dd-bd11-0800200c9a66</v>
      </c>
      <c r="I18" s="9" t="s">
        <v>7</v>
      </c>
      <c r="J18" s="9" t="s">
        <v>33</v>
      </c>
      <c r="K18" s="9"/>
    </row>
    <row r="19" spans="1:11" ht="27.6">
      <c r="A19" s="4" t="s">
        <v>77</v>
      </c>
      <c r="B19" s="4" t="s">
        <v>75</v>
      </c>
      <c r="C19" s="4" t="s">
        <v>38</v>
      </c>
      <c r="D19" s="4">
        <v>6</v>
      </c>
      <c r="E19" s="4" t="s">
        <v>39</v>
      </c>
      <c r="F19" s="9" t="s">
        <v>40</v>
      </c>
      <c r="G19" s="9" t="s">
        <v>798</v>
      </c>
      <c r="H19" s="11" t="str">
        <f>IF(G19="","",IFERROR(VLOOKUP(G19,ELCD_Catalog!$A$2:$B$609,2,FALSE),""))</f>
        <v>898618b2-3306-11dd-bd11-0800200c9a66</v>
      </c>
      <c r="I19" s="9" t="s">
        <v>7</v>
      </c>
      <c r="J19" s="9" t="s">
        <v>33</v>
      </c>
      <c r="K19" s="9"/>
    </row>
    <row r="20" spans="1:11" ht="27.6">
      <c r="A20" s="4" t="s">
        <v>78</v>
      </c>
      <c r="B20" s="4" t="s">
        <v>75</v>
      </c>
      <c r="C20" s="4" t="s">
        <v>42</v>
      </c>
      <c r="D20" s="4">
        <v>9</v>
      </c>
      <c r="E20" s="4" t="s">
        <v>39</v>
      </c>
      <c r="F20" s="9" t="s">
        <v>79</v>
      </c>
      <c r="G20" s="9" t="s">
        <v>801</v>
      </c>
      <c r="H20" s="11" t="str">
        <f>IF(G20="","",IFERROR(VLOOKUP(G20,ELCD_Catalog!$A$2:$B$609,2,FALSE),""))</f>
        <v>898618b3-3306-11dd-bd11-0800200c9a66</v>
      </c>
      <c r="I20" s="9" t="s">
        <v>10</v>
      </c>
      <c r="J20" s="9" t="s">
        <v>43</v>
      </c>
      <c r="K20" s="9" t="s">
        <v>44</v>
      </c>
    </row>
    <row r="21" spans="1:11">
      <c r="A21" s="4" t="s">
        <v>80</v>
      </c>
      <c r="B21" s="4" t="s">
        <v>75</v>
      </c>
      <c r="C21" s="4" t="s">
        <v>81</v>
      </c>
      <c r="D21" s="4">
        <v>12</v>
      </c>
      <c r="E21" s="4" t="s">
        <v>39</v>
      </c>
      <c r="F21" s="9" t="s">
        <v>81</v>
      </c>
      <c r="G21" s="9" t="s">
        <v>153</v>
      </c>
      <c r="H21" s="11" t="str">
        <f>IF(G21="","",IFERROR(VLOOKUP(G21,ELCD_Catalog!$A$2:$B$609,2,FALSE),""))</f>
        <v/>
      </c>
      <c r="I21" s="9" t="s">
        <v>12</v>
      </c>
      <c r="J21" s="9" t="s">
        <v>51</v>
      </c>
      <c r="K21" s="9" t="s">
        <v>82</v>
      </c>
    </row>
    <row r="22" spans="1:11" ht="27.6">
      <c r="A22" s="4" t="s">
        <v>83</v>
      </c>
      <c r="B22" s="4" t="s">
        <v>75</v>
      </c>
      <c r="C22" s="4" t="s">
        <v>84</v>
      </c>
      <c r="D22" s="4">
        <v>0.21</v>
      </c>
      <c r="E22" s="4" t="s">
        <v>39</v>
      </c>
      <c r="F22" s="9" t="s">
        <v>85</v>
      </c>
      <c r="G22" s="9" t="s">
        <v>154</v>
      </c>
      <c r="H22" s="11" t="str">
        <f>IF(G22="","",IFERROR(VLOOKUP(G22,ELCD_Catalog!$A$2:$B$609,2,FALSE),""))</f>
        <v>621e64d0-f471-4023-9ebc-a52cd8ee573f</v>
      </c>
      <c r="I22" s="9" t="s">
        <v>10</v>
      </c>
      <c r="J22" s="9" t="s">
        <v>43</v>
      </c>
      <c r="K22" s="9"/>
    </row>
    <row r="23" spans="1:11" ht="27.6">
      <c r="A23" s="4" t="s">
        <v>86</v>
      </c>
      <c r="B23" s="4" t="s">
        <v>75</v>
      </c>
      <c r="C23" s="4" t="s">
        <v>87</v>
      </c>
      <c r="D23" s="4">
        <v>4</v>
      </c>
      <c r="E23" s="4" t="s">
        <v>70</v>
      </c>
      <c r="F23" s="9" t="s">
        <v>88</v>
      </c>
      <c r="G23" s="9" t="s">
        <v>154</v>
      </c>
      <c r="H23" s="11" t="str">
        <f>IF(G23="","",IFERROR(VLOOKUP(G23,ELCD_Catalog!$A$2:$B$609,2,FALSE),""))</f>
        <v>621e64d0-f471-4023-9ebc-a52cd8ee573f</v>
      </c>
      <c r="I23" s="9" t="s">
        <v>10</v>
      </c>
      <c r="J23" s="9" t="s">
        <v>51</v>
      </c>
      <c r="K23" s="9" t="s">
        <v>89</v>
      </c>
    </row>
    <row r="24" spans="1:11">
      <c r="A24" s="4" t="s">
        <v>90</v>
      </c>
      <c r="B24" s="4" t="s">
        <v>75</v>
      </c>
      <c r="C24" s="4" t="s">
        <v>91</v>
      </c>
      <c r="D24" s="4">
        <v>2</v>
      </c>
      <c r="E24" s="4" t="s">
        <v>31</v>
      </c>
      <c r="F24" s="9" t="s">
        <v>92</v>
      </c>
      <c r="G24" s="9" t="s">
        <v>153</v>
      </c>
      <c r="H24" s="11" t="str">
        <f>IF(G24="","",IFERROR(VLOOKUP(G24,ELCD_Catalog!$A$2:$B$609,2,FALSE),""))</f>
        <v/>
      </c>
      <c r="I24" s="9" t="s">
        <v>12</v>
      </c>
      <c r="J24" s="9" t="s">
        <v>51</v>
      </c>
      <c r="K24" s="9" t="s">
        <v>93</v>
      </c>
    </row>
    <row r="25" spans="1:11" ht="27.6">
      <c r="A25" s="4" t="s">
        <v>94</v>
      </c>
      <c r="B25" s="4" t="s">
        <v>75</v>
      </c>
      <c r="C25" s="4" t="s">
        <v>95</v>
      </c>
      <c r="D25" s="4">
        <v>116</v>
      </c>
      <c r="E25" s="4" t="s">
        <v>31</v>
      </c>
      <c r="F25" s="9" t="s">
        <v>55</v>
      </c>
      <c r="G25" s="9" t="s">
        <v>384</v>
      </c>
      <c r="H25" s="11" t="str">
        <f>IF(G25="","",IFERROR(VLOOKUP(G25,ELCD_Catalog!$A$2:$B$609,2,FALSE),""))</f>
        <v>268a11fb-baf2-4b9e-8867-38bea0e76ef6</v>
      </c>
      <c r="I25" s="9" t="s">
        <v>7</v>
      </c>
      <c r="J25" s="9" t="s">
        <v>33</v>
      </c>
      <c r="K25" s="9"/>
    </row>
    <row r="26" spans="1:11" ht="27.6">
      <c r="A26" s="4" t="s">
        <v>96</v>
      </c>
      <c r="B26" s="4" t="s">
        <v>75</v>
      </c>
      <c r="C26" s="4" t="s">
        <v>97</v>
      </c>
      <c r="D26" s="4">
        <v>51</v>
      </c>
      <c r="E26" s="4" t="s">
        <v>31</v>
      </c>
      <c r="F26" s="9" t="s">
        <v>55</v>
      </c>
      <c r="G26" s="9" t="s">
        <v>384</v>
      </c>
      <c r="H26" s="11" t="str">
        <f>IF(G26="","",IFERROR(VLOOKUP(G26,ELCD_Catalog!$A$2:$B$609,2,FALSE),""))</f>
        <v>268a11fb-baf2-4b9e-8867-38bea0e76ef6</v>
      </c>
      <c r="I26" s="9" t="s">
        <v>7</v>
      </c>
      <c r="J26" s="9" t="s">
        <v>33</v>
      </c>
      <c r="K26" s="9"/>
    </row>
    <row r="27" spans="1:11" ht="69">
      <c r="A27" s="4" t="s">
        <v>98</v>
      </c>
      <c r="B27" s="4" t="s">
        <v>75</v>
      </c>
      <c r="C27" s="4" t="s">
        <v>99</v>
      </c>
      <c r="D27" s="4">
        <v>4</v>
      </c>
      <c r="E27" s="4" t="s">
        <v>31</v>
      </c>
      <c r="F27" s="9" t="s">
        <v>58</v>
      </c>
      <c r="G27" s="9" t="s">
        <v>766</v>
      </c>
      <c r="H27" s="11" t="str">
        <f>IF(G27="","",IFERROR(VLOOKUP(G27,ELCD_Catalog!$A$2:$B$609,2,FALSE),""))</f>
        <v/>
      </c>
      <c r="I27" s="9" t="s">
        <v>10</v>
      </c>
      <c r="J27" s="9" t="s">
        <v>51</v>
      </c>
      <c r="K27" s="9" t="s">
        <v>59</v>
      </c>
    </row>
    <row r="28" spans="1:11" ht="27.6">
      <c r="A28" s="4" t="s">
        <v>100</v>
      </c>
      <c r="B28" s="4" t="s">
        <v>75</v>
      </c>
      <c r="C28" s="4" t="s">
        <v>101</v>
      </c>
      <c r="D28" s="4">
        <v>630</v>
      </c>
      <c r="E28" s="4" t="s">
        <v>31</v>
      </c>
      <c r="F28" s="9" t="s">
        <v>62</v>
      </c>
      <c r="G28" s="9" t="s">
        <v>280</v>
      </c>
      <c r="H28" s="11" t="str">
        <f>IF(G28="","",IFERROR(VLOOKUP(G28,ELCD_Catalog!$A$2:$B$609,2,FALSE),""))</f>
        <v>119e8cc1-0859-45ca-8f63-93a8a518ffd2</v>
      </c>
      <c r="I28" s="9" t="s">
        <v>10</v>
      </c>
      <c r="J28" s="9" t="s">
        <v>43</v>
      </c>
      <c r="K28" s="9" t="s">
        <v>63</v>
      </c>
    </row>
    <row r="29" spans="1:11" ht="27.6">
      <c r="A29" s="4" t="s">
        <v>102</v>
      </c>
      <c r="B29" s="4" t="s">
        <v>75</v>
      </c>
      <c r="C29" s="4" t="s">
        <v>103</v>
      </c>
      <c r="D29" s="4">
        <v>3</v>
      </c>
      <c r="E29" s="4" t="s">
        <v>70</v>
      </c>
      <c r="F29" s="9" t="s">
        <v>88</v>
      </c>
      <c r="G29" s="9" t="s">
        <v>154</v>
      </c>
      <c r="H29" s="11" t="str">
        <f>IF(G29="","",IFERROR(VLOOKUP(G29,ELCD_Catalog!$A$2:$B$609,2,FALSE),""))</f>
        <v>621e64d0-f471-4023-9ebc-a52cd8ee573f</v>
      </c>
      <c r="I29" s="9" t="s">
        <v>10</v>
      </c>
      <c r="J29" s="9" t="s">
        <v>51</v>
      </c>
      <c r="K29" s="9" t="s">
        <v>89</v>
      </c>
    </row>
    <row r="30" spans="1:11">
      <c r="A30" s="4" t="s">
        <v>104</v>
      </c>
      <c r="B30" s="4" t="s">
        <v>75</v>
      </c>
      <c r="C30" s="4" t="s">
        <v>105</v>
      </c>
      <c r="D30" s="4">
        <v>4.82</v>
      </c>
      <c r="E30" s="4" t="s">
        <v>39</v>
      </c>
      <c r="F30" s="9" t="s">
        <v>105</v>
      </c>
      <c r="G30" s="9" t="s">
        <v>153</v>
      </c>
      <c r="H30" s="11" t="str">
        <f>IF(G30="","",IFERROR(VLOOKUP(G30,ELCD_Catalog!$A$2:$B$609,2,FALSE),""))</f>
        <v/>
      </c>
      <c r="I30" s="9" t="s">
        <v>12</v>
      </c>
      <c r="J30" s="9" t="s">
        <v>51</v>
      </c>
      <c r="K30" s="9" t="s">
        <v>82</v>
      </c>
    </row>
    <row r="31" spans="1:11" ht="27.6">
      <c r="A31" s="4" t="s">
        <v>106</v>
      </c>
      <c r="B31" s="4" t="s">
        <v>107</v>
      </c>
      <c r="C31" s="4" t="s">
        <v>32</v>
      </c>
      <c r="D31" s="4">
        <v>7300</v>
      </c>
      <c r="E31" s="4" t="s">
        <v>31</v>
      </c>
      <c r="F31" s="9" t="s">
        <v>32</v>
      </c>
      <c r="G31" s="9" t="s">
        <v>622</v>
      </c>
      <c r="H31" s="11" t="str">
        <f>IF(G31="","",IFERROR(VLOOKUP(G31,ELCD_Catalog!$A$2:$B$609,2,FALSE),""))</f>
        <v>600573dd-dfa5-44e5-b458-8727e793ffd7</v>
      </c>
      <c r="I31" s="9" t="s">
        <v>7</v>
      </c>
      <c r="J31" s="9" t="s">
        <v>33</v>
      </c>
      <c r="K31" s="9"/>
    </row>
    <row r="32" spans="1:11" ht="27.6">
      <c r="A32" s="4" t="s">
        <v>108</v>
      </c>
      <c r="B32" s="4" t="s">
        <v>107</v>
      </c>
      <c r="C32" s="4" t="s">
        <v>36</v>
      </c>
      <c r="D32" s="4">
        <v>27200</v>
      </c>
      <c r="E32" s="4" t="s">
        <v>31</v>
      </c>
      <c r="F32" s="9" t="s">
        <v>36</v>
      </c>
      <c r="G32" s="9" t="s">
        <v>795</v>
      </c>
      <c r="H32" s="11" t="str">
        <f>IF(G32="","",IFERROR(VLOOKUP(G32,ELCD_Catalog!$A$2:$B$609,2,FALSE),""))</f>
        <v>898618b1-3306-11dd-bd11-0800200c9a66</v>
      </c>
      <c r="I32" s="9" t="s">
        <v>7</v>
      </c>
      <c r="J32" s="9" t="s">
        <v>33</v>
      </c>
      <c r="K32" s="9"/>
    </row>
    <row r="33" spans="1:11" ht="27.6">
      <c r="A33" s="4" t="s">
        <v>109</v>
      </c>
      <c r="B33" s="4" t="s">
        <v>107</v>
      </c>
      <c r="C33" s="4" t="s">
        <v>38</v>
      </c>
      <c r="D33" s="4">
        <v>6</v>
      </c>
      <c r="E33" s="4" t="s">
        <v>39</v>
      </c>
      <c r="F33" s="9" t="s">
        <v>40</v>
      </c>
      <c r="G33" s="9" t="s">
        <v>798</v>
      </c>
      <c r="H33" s="11" t="str">
        <f>IF(G33="","",IFERROR(VLOOKUP(G33,ELCD_Catalog!$A$2:$B$609,2,FALSE),""))</f>
        <v>898618b2-3306-11dd-bd11-0800200c9a66</v>
      </c>
      <c r="I33" s="9" t="s">
        <v>7</v>
      </c>
      <c r="J33" s="9" t="s">
        <v>33</v>
      </c>
      <c r="K33" s="9"/>
    </row>
    <row r="34" spans="1:11">
      <c r="A34" s="4" t="s">
        <v>110</v>
      </c>
      <c r="B34" s="4" t="s">
        <v>107</v>
      </c>
      <c r="C34" s="4" t="s">
        <v>111</v>
      </c>
      <c r="D34" s="4">
        <v>6042</v>
      </c>
      <c r="E34" s="4" t="s">
        <v>112</v>
      </c>
      <c r="F34" s="9" t="s">
        <v>81</v>
      </c>
      <c r="G34" s="9" t="s">
        <v>153</v>
      </c>
      <c r="H34" s="11" t="str">
        <f>IF(G34="","",IFERROR(VLOOKUP(G34,ELCD_Catalog!$A$2:$B$609,2,FALSE),""))</f>
        <v/>
      </c>
      <c r="I34" s="9" t="s">
        <v>12</v>
      </c>
      <c r="J34" s="9" t="s">
        <v>51</v>
      </c>
      <c r="K34" s="9" t="s">
        <v>82</v>
      </c>
    </row>
    <row r="35" spans="1:11" ht="27.6">
      <c r="A35" s="4" t="s">
        <v>113</v>
      </c>
      <c r="B35" s="4" t="s">
        <v>107</v>
      </c>
      <c r="C35" s="4" t="s">
        <v>114</v>
      </c>
      <c r="D35" s="4">
        <v>0.26400000000000001</v>
      </c>
      <c r="E35" s="4" t="s">
        <v>39</v>
      </c>
      <c r="F35" s="9" t="s">
        <v>85</v>
      </c>
      <c r="G35" s="9" t="s">
        <v>152</v>
      </c>
      <c r="H35" s="11" t="str">
        <f>IF(G35="","",IFERROR(VLOOKUP(G35,ELCD_Catalog!$A$2:$B$609,2,FALSE),""))</f>
        <v>2b61a4d6-bd1d-4ea3-828c-fdbdf5fca1f9</v>
      </c>
      <c r="I35" s="9" t="s">
        <v>7</v>
      </c>
      <c r="J35" s="9" t="s">
        <v>33</v>
      </c>
      <c r="K35" s="9"/>
    </row>
    <row r="36" spans="1:11">
      <c r="A36" s="4" t="s">
        <v>115</v>
      </c>
      <c r="B36" s="4" t="s">
        <v>107</v>
      </c>
      <c r="C36" s="4" t="s">
        <v>105</v>
      </c>
      <c r="D36" s="4">
        <v>5.915</v>
      </c>
      <c r="E36" s="4" t="s">
        <v>39</v>
      </c>
      <c r="F36" s="9" t="s">
        <v>105</v>
      </c>
      <c r="G36" s="9" t="s">
        <v>153</v>
      </c>
      <c r="H36" s="11" t="str">
        <f>IF(G36="","",IFERROR(VLOOKUP(G36,ELCD_Catalog!$A$2:$B$609,2,FALSE),""))</f>
        <v/>
      </c>
      <c r="I36" s="9" t="s">
        <v>12</v>
      </c>
      <c r="J36" s="9" t="s">
        <v>51</v>
      </c>
      <c r="K36" s="9" t="s">
        <v>82</v>
      </c>
    </row>
    <row r="37" spans="1:11" ht="27.6">
      <c r="A37" s="4" t="s">
        <v>116</v>
      </c>
      <c r="B37" s="4" t="s">
        <v>107</v>
      </c>
      <c r="C37" s="4" t="s">
        <v>55</v>
      </c>
      <c r="D37" s="4">
        <v>674</v>
      </c>
      <c r="E37" s="4" t="s">
        <v>31</v>
      </c>
      <c r="F37" s="9" t="s">
        <v>55</v>
      </c>
      <c r="G37" s="9" t="s">
        <v>384</v>
      </c>
      <c r="H37" s="11" t="str">
        <f>IF(G37="","",IFERROR(VLOOKUP(G37,ELCD_Catalog!$A$2:$B$609,2,FALSE),""))</f>
        <v>268a11fb-baf2-4b9e-8867-38bea0e76ef6</v>
      </c>
      <c r="I37" s="9" t="s">
        <v>7</v>
      </c>
      <c r="J37" s="9" t="s">
        <v>33</v>
      </c>
      <c r="K37" s="9"/>
    </row>
    <row r="38" spans="1:11">
      <c r="A38" s="4" t="s">
        <v>117</v>
      </c>
      <c r="B38" s="4" t="s">
        <v>107</v>
      </c>
      <c r="C38" s="4" t="s">
        <v>81</v>
      </c>
      <c r="D38" s="4">
        <v>3</v>
      </c>
      <c r="E38" s="4" t="s">
        <v>39</v>
      </c>
      <c r="F38" s="9" t="s">
        <v>81</v>
      </c>
      <c r="G38" s="9" t="s">
        <v>153</v>
      </c>
      <c r="H38" s="11" t="str">
        <f>IF(G38="","",IFERROR(VLOOKUP(G38,ELCD_Catalog!$A$2:$B$609,2,FALSE),""))</f>
        <v/>
      </c>
      <c r="I38" s="9" t="s">
        <v>12</v>
      </c>
      <c r="J38" s="9" t="s">
        <v>51</v>
      </c>
      <c r="K38" s="9" t="s">
        <v>82</v>
      </c>
    </row>
    <row r="39" spans="1:11" ht="27.6">
      <c r="A39" s="5" t="s">
        <v>118</v>
      </c>
      <c r="B39" s="5" t="s">
        <v>107</v>
      </c>
      <c r="C39" s="5" t="s">
        <v>119</v>
      </c>
      <c r="D39" s="5">
        <v>478.07</v>
      </c>
      <c r="E39" s="5" t="s">
        <v>31</v>
      </c>
      <c r="F39" s="10" t="s">
        <v>62</v>
      </c>
      <c r="G39" s="10" t="s">
        <v>280</v>
      </c>
      <c r="H39" s="12" t="str">
        <f>IF(G39="","",IFERROR(VLOOKUP(G39,ELCD_Catalog!$A$2:$B$609,2,FALSE),""))</f>
        <v>119e8cc1-0859-45ca-8f63-93a8a518ffd2</v>
      </c>
      <c r="I39" s="10" t="s">
        <v>10</v>
      </c>
      <c r="J39" s="10" t="s">
        <v>43</v>
      </c>
      <c r="K39" s="10" t="s">
        <v>63</v>
      </c>
    </row>
  </sheetData>
  <mergeCells count="1">
    <mergeCell ref="A1:K1"/>
  </mergeCells>
  <dataValidations count="3">
    <dataValidation type="list" sqref="I5:I39" xr:uid="{00000000-0002-0000-0100-000000000000}">
      <formula1>"Direct,Proxy,Review Required"</formula1>
    </dataValidation>
    <dataValidation type="list" sqref="J5:J39" xr:uid="{00000000-0002-0000-0100-000001000000}">
      <formula1>"High,Medium,Low"</formula1>
    </dataValidation>
    <dataValidation type="list" sqref="G5:G39" xr:uid="{00000000-0002-0000-0100-000002000000}">
      <formula1>INDIRECT("ELCD_Catalog!$A$2:$A$609")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9"/>
  <sheetViews>
    <sheetView topLeftCell="F27" workbookViewId="0">
      <selection activeCell="I9" sqref="I9"/>
    </sheetView>
  </sheetViews>
  <sheetFormatPr defaultColWidth="8.796875" defaultRowHeight="13.8"/>
  <cols>
    <col min="1" max="1" width="18" customWidth="1"/>
    <col min="2" max="2" width="22" customWidth="1"/>
    <col min="3" max="3" width="42" customWidth="1"/>
    <col min="4" max="4" width="10" customWidth="1"/>
    <col min="5" max="5" width="9" customWidth="1"/>
    <col min="6" max="6" width="26" customWidth="1"/>
    <col min="7" max="7" width="58" customWidth="1"/>
    <col min="8" max="8" width="49.3984375" customWidth="1"/>
    <col min="9" max="9" width="18" customWidth="1"/>
    <col min="10" max="10" width="12" customWidth="1"/>
    <col min="11" max="11" width="34" customWidth="1"/>
  </cols>
  <sheetData>
    <row r="1" spans="1:11" ht="17.399999999999999">
      <c r="A1" s="32" t="s">
        <v>120</v>
      </c>
      <c r="B1" s="32"/>
      <c r="C1" s="32"/>
      <c r="D1" s="32"/>
      <c r="E1" s="32"/>
      <c r="F1" s="32"/>
      <c r="G1" s="32"/>
      <c r="H1" s="32"/>
      <c r="I1" s="32"/>
      <c r="J1" s="32"/>
      <c r="K1" s="32"/>
    </row>
    <row r="2" spans="1:11">
      <c r="A2" s="3"/>
      <c r="B2" s="3"/>
      <c r="C2" s="3"/>
      <c r="D2" s="3"/>
      <c r="E2" s="3"/>
      <c r="F2" s="3"/>
      <c r="G2" s="3"/>
      <c r="H2" s="3"/>
      <c r="I2" s="3"/>
      <c r="J2" s="3"/>
      <c r="K2" s="3"/>
    </row>
    <row r="3" spans="1:11">
      <c r="A3" s="3"/>
      <c r="B3" s="3"/>
      <c r="C3" s="3"/>
      <c r="D3" s="3"/>
      <c r="E3" s="3"/>
      <c r="F3" s="3"/>
      <c r="G3" s="3"/>
      <c r="H3" s="3"/>
      <c r="I3" s="3"/>
      <c r="J3" s="3"/>
      <c r="K3" s="3"/>
    </row>
    <row r="4" spans="1:11">
      <c r="A4" s="14" t="s">
        <v>18</v>
      </c>
      <c r="B4" s="16" t="s">
        <v>19</v>
      </c>
      <c r="C4" s="16" t="s">
        <v>20</v>
      </c>
      <c r="D4" s="16" t="s">
        <v>21</v>
      </c>
      <c r="E4" s="16" t="s">
        <v>22</v>
      </c>
      <c r="F4" s="16" t="s">
        <v>23</v>
      </c>
      <c r="G4" s="16" t="s">
        <v>24</v>
      </c>
      <c r="H4" s="16" t="s">
        <v>25</v>
      </c>
      <c r="I4" s="16" t="s">
        <v>26</v>
      </c>
      <c r="J4" s="16" t="s">
        <v>14</v>
      </c>
      <c r="K4" s="15" t="s">
        <v>27</v>
      </c>
    </row>
    <row r="5" spans="1:11" ht="27.6">
      <c r="A5" s="4" t="s">
        <v>28</v>
      </c>
      <c r="B5" s="4" t="s">
        <v>29</v>
      </c>
      <c r="C5" s="4" t="s">
        <v>30</v>
      </c>
      <c r="D5" s="4">
        <v>5000</v>
      </c>
      <c r="E5" s="4" t="s">
        <v>31</v>
      </c>
      <c r="F5" s="9" t="s">
        <v>32</v>
      </c>
      <c r="G5" s="9" t="s">
        <v>622</v>
      </c>
      <c r="H5" s="11" t="str">
        <f>IF(G5="","",IFERROR(VLOOKUP(G5,ELCD_Catalog!$A$2:$B$609,2,FALSE),""))</f>
        <v>600573dd-dfa5-44e5-b458-8727e793ffd7</v>
      </c>
      <c r="I5" s="9" t="s">
        <v>7</v>
      </c>
      <c r="J5" s="9" t="s">
        <v>33</v>
      </c>
      <c r="K5" s="9"/>
    </row>
    <row r="6" spans="1:11" ht="27.6">
      <c r="A6" s="4" t="s">
        <v>34</v>
      </c>
      <c r="B6" s="4" t="s">
        <v>29</v>
      </c>
      <c r="C6" s="4" t="s">
        <v>35</v>
      </c>
      <c r="D6" s="4">
        <v>24000</v>
      </c>
      <c r="E6" s="4" t="s">
        <v>31</v>
      </c>
      <c r="F6" s="9" t="s">
        <v>36</v>
      </c>
      <c r="G6" s="9" t="s">
        <v>795</v>
      </c>
      <c r="H6" s="11" t="str">
        <f>IF(G6="","",IFERROR(VLOOKUP(G6,ELCD_Catalog!$A$2:$B$609,2,FALSE),""))</f>
        <v>898618b1-3306-11dd-bd11-0800200c9a66</v>
      </c>
      <c r="I6" s="9" t="s">
        <v>7</v>
      </c>
      <c r="J6" s="9" t="s">
        <v>33</v>
      </c>
      <c r="K6" s="9"/>
    </row>
    <row r="7" spans="1:11" ht="27.6">
      <c r="A7" s="4" t="s">
        <v>37</v>
      </c>
      <c r="B7" s="4" t="s">
        <v>29</v>
      </c>
      <c r="C7" s="4" t="s">
        <v>38</v>
      </c>
      <c r="D7" s="4">
        <v>12</v>
      </c>
      <c r="E7" s="4" t="s">
        <v>39</v>
      </c>
      <c r="F7" s="9" t="s">
        <v>40</v>
      </c>
      <c r="G7" s="9" t="s">
        <v>798</v>
      </c>
      <c r="H7" s="11" t="str">
        <f>IF(G7="","",IFERROR(VLOOKUP(G7,ELCD_Catalog!$A$2:$B$609,2,FALSE),""))</f>
        <v>898618b2-3306-11dd-bd11-0800200c9a66</v>
      </c>
      <c r="I7" s="9" t="s">
        <v>7</v>
      </c>
      <c r="J7" s="9" t="s">
        <v>33</v>
      </c>
      <c r="K7" s="9"/>
    </row>
    <row r="8" spans="1:11" ht="27.6">
      <c r="A8" s="4" t="s">
        <v>41</v>
      </c>
      <c r="B8" s="4" t="s">
        <v>29</v>
      </c>
      <c r="C8" s="4" t="s">
        <v>42</v>
      </c>
      <c r="D8" s="4">
        <v>12</v>
      </c>
      <c r="E8" s="4" t="s">
        <v>39</v>
      </c>
      <c r="F8" s="9" t="s">
        <v>42</v>
      </c>
      <c r="G8" s="9" t="s">
        <v>801</v>
      </c>
      <c r="H8" s="11" t="str">
        <f>IF(G8="","",IFERROR(VLOOKUP(G8,ELCD_Catalog!$A$2:$B$609,2,FALSE),""))</f>
        <v>898618b3-3306-11dd-bd11-0800200c9a66</v>
      </c>
      <c r="I8" s="9" t="s">
        <v>7</v>
      </c>
      <c r="J8" s="9" t="s">
        <v>33</v>
      </c>
      <c r="K8" s="9"/>
    </row>
    <row r="9" spans="1:11" ht="41.4">
      <c r="A9" s="4" t="s">
        <v>45</v>
      </c>
      <c r="B9" s="4" t="s">
        <v>29</v>
      </c>
      <c r="C9" s="4" t="s">
        <v>46</v>
      </c>
      <c r="D9" s="4">
        <v>1.6</v>
      </c>
      <c r="E9" s="4" t="s">
        <v>39</v>
      </c>
      <c r="F9" s="9" t="s">
        <v>47</v>
      </c>
      <c r="G9" s="9" t="s">
        <v>792</v>
      </c>
      <c r="H9" s="11" t="str">
        <f>IF(G9="","",IFERROR(VLOOKUP(G9,ELCD_Catalog!$A$2:$B$609,2,FALSE),""))</f>
        <v>898618b0-3306-11dd-bd11-0800200c9a66</v>
      </c>
      <c r="I9" s="9" t="s">
        <v>10</v>
      </c>
      <c r="J9" s="9" t="s">
        <v>43</v>
      </c>
      <c r="K9" s="9"/>
    </row>
    <row r="10" spans="1:11" ht="27.6">
      <c r="A10" s="4" t="s">
        <v>48</v>
      </c>
      <c r="B10" s="4" t="s">
        <v>29</v>
      </c>
      <c r="C10" s="4" t="s">
        <v>49</v>
      </c>
      <c r="D10" s="4">
        <v>3512.34</v>
      </c>
      <c r="E10" s="4" t="s">
        <v>31</v>
      </c>
      <c r="F10" s="9" t="s">
        <v>121</v>
      </c>
      <c r="G10" s="9" t="s">
        <v>150</v>
      </c>
      <c r="H10" s="11" t="str">
        <f>IF(G10="","",IFERROR(VLOOKUP(G10,ELCD_Catalog!$A$2:$B$609,2,FALSE),""))</f>
        <v>898618b6-3306-11dd-bd11-0800200c9a66</v>
      </c>
      <c r="I10" s="9" t="s">
        <v>10</v>
      </c>
      <c r="J10" s="9" t="s">
        <v>43</v>
      </c>
      <c r="K10" s="9"/>
    </row>
    <row r="11" spans="1:11" ht="27.6">
      <c r="A11" s="4" t="s">
        <v>53</v>
      </c>
      <c r="B11" s="4" t="s">
        <v>29</v>
      </c>
      <c r="C11" s="4" t="s">
        <v>54</v>
      </c>
      <c r="D11" s="4">
        <v>250</v>
      </c>
      <c r="E11" s="4" t="s">
        <v>31</v>
      </c>
      <c r="F11" s="9" t="s">
        <v>55</v>
      </c>
      <c r="G11" s="9" t="s">
        <v>384</v>
      </c>
      <c r="H11" s="11" t="str">
        <f>IF(G11="","",IFERROR(VLOOKUP(G11,ELCD_Catalog!$A$2:$B$609,2,FALSE),""))</f>
        <v>268a11fb-baf2-4b9e-8867-38bea0e76ef6</v>
      </c>
      <c r="I11" s="9" t="s">
        <v>7</v>
      </c>
      <c r="J11" s="9" t="s">
        <v>43</v>
      </c>
      <c r="K11" s="9"/>
    </row>
    <row r="12" spans="1:11" ht="27.6">
      <c r="A12" s="4" t="s">
        <v>56</v>
      </c>
      <c r="B12" s="4" t="s">
        <v>29</v>
      </c>
      <c r="C12" s="4" t="s">
        <v>57</v>
      </c>
      <c r="D12" s="4">
        <v>5</v>
      </c>
      <c r="E12" s="4" t="s">
        <v>31</v>
      </c>
      <c r="F12" s="9" t="s">
        <v>122</v>
      </c>
      <c r="G12" s="9" t="s">
        <v>155</v>
      </c>
      <c r="H12" s="11" t="str">
        <f>IF(G12="","",IFERROR(VLOOKUP(G12,ELCD_Catalog!$A$2:$B$609,2,FALSE),""))</f>
        <v>11bceac4-b3d8-4048-8e80-b691ecd2c261</v>
      </c>
      <c r="I12" s="9" t="s">
        <v>10</v>
      </c>
      <c r="J12" s="9" t="s">
        <v>43</v>
      </c>
      <c r="K12" s="9"/>
    </row>
    <row r="13" spans="1:11" ht="27.6">
      <c r="A13" s="4" t="s">
        <v>60</v>
      </c>
      <c r="B13" s="4" t="s">
        <v>29</v>
      </c>
      <c r="C13" s="4" t="s">
        <v>61</v>
      </c>
      <c r="D13" s="4">
        <v>190.71</v>
      </c>
      <c r="E13" s="4" t="s">
        <v>31</v>
      </c>
      <c r="F13" s="9" t="s">
        <v>119</v>
      </c>
      <c r="G13" s="9" t="s">
        <v>151</v>
      </c>
      <c r="H13" s="11" t="str">
        <f>IF(G13="","",IFERROR(VLOOKUP(G13,ELCD_Catalog!$A$2:$B$609,2,FALSE),""))</f>
        <v>7311da1a-673f-96b5-66ef-00004409928e</v>
      </c>
      <c r="I13" s="9" t="s">
        <v>10</v>
      </c>
      <c r="J13" s="9" t="s">
        <v>51</v>
      </c>
      <c r="K13" s="9"/>
    </row>
    <row r="14" spans="1:11" ht="27.6">
      <c r="A14" s="4" t="s">
        <v>64</v>
      </c>
      <c r="B14" s="4" t="s">
        <v>29</v>
      </c>
      <c r="C14" s="4" t="s">
        <v>65</v>
      </c>
      <c r="D14" s="4">
        <v>2.08</v>
      </c>
      <c r="E14" s="4" t="s">
        <v>39</v>
      </c>
      <c r="F14" s="9" t="s">
        <v>66</v>
      </c>
      <c r="G14" s="9" t="s">
        <v>154</v>
      </c>
      <c r="H14" s="11" t="str">
        <f>IF(G14="","",IFERROR(VLOOKUP(G14,ELCD_Catalog!$A$2:$B$609,2,FALSE),""))</f>
        <v>621e64d0-f471-4023-9ebc-a52cd8ee573f</v>
      </c>
      <c r="I14" s="9" t="s">
        <v>10</v>
      </c>
      <c r="J14" s="9" t="s">
        <v>43</v>
      </c>
      <c r="K14" s="9"/>
    </row>
    <row r="15" spans="1:11">
      <c r="A15" s="4" t="s">
        <v>68</v>
      </c>
      <c r="B15" s="4" t="s">
        <v>29</v>
      </c>
      <c r="C15" s="4" t="s">
        <v>69</v>
      </c>
      <c r="D15" s="4">
        <v>65</v>
      </c>
      <c r="E15" s="4" t="s">
        <v>70</v>
      </c>
      <c r="F15" s="9" t="s">
        <v>123</v>
      </c>
      <c r="G15" s="9" t="s">
        <v>153</v>
      </c>
      <c r="H15" s="11" t="str">
        <f>IF(G15="","",IFERROR(VLOOKUP(G15,ELCD_Catalog!$A$2:$B$609,2,FALSE),""))</f>
        <v/>
      </c>
      <c r="I15" s="9" t="s">
        <v>12</v>
      </c>
      <c r="J15" s="9" t="s">
        <v>51</v>
      </c>
      <c r="K15" s="9"/>
    </row>
    <row r="16" spans="1:11">
      <c r="A16" s="4" t="s">
        <v>72</v>
      </c>
      <c r="B16" s="4" t="s">
        <v>29</v>
      </c>
      <c r="C16" s="4" t="s">
        <v>73</v>
      </c>
      <c r="D16" s="4">
        <v>128</v>
      </c>
      <c r="E16" s="4" t="s">
        <v>70</v>
      </c>
      <c r="F16" s="9" t="s">
        <v>123</v>
      </c>
      <c r="G16" s="9" t="s">
        <v>153</v>
      </c>
      <c r="H16" s="11" t="str">
        <f>IF(G16="","",IFERROR(VLOOKUP(G16,ELCD_Catalog!$A$2:$B$609,2,FALSE),""))</f>
        <v/>
      </c>
      <c r="I16" s="9" t="s">
        <v>12</v>
      </c>
      <c r="J16" s="9" t="s">
        <v>51</v>
      </c>
      <c r="K16" s="9"/>
    </row>
    <row r="17" spans="1:11" ht="27.6">
      <c r="A17" s="4" t="s">
        <v>74</v>
      </c>
      <c r="B17" s="4" t="s">
        <v>75</v>
      </c>
      <c r="C17" s="4" t="s">
        <v>32</v>
      </c>
      <c r="D17" s="4">
        <v>1250</v>
      </c>
      <c r="E17" s="4" t="s">
        <v>31</v>
      </c>
      <c r="F17" s="9" t="s">
        <v>32</v>
      </c>
      <c r="G17" s="9" t="s">
        <v>622</v>
      </c>
      <c r="H17" s="11" t="str">
        <f>IF(G17="","",IFERROR(VLOOKUP(G17,ELCD_Catalog!$A$2:$B$609,2,FALSE),""))</f>
        <v>600573dd-dfa5-44e5-b458-8727e793ffd7</v>
      </c>
      <c r="I17" s="9" t="s">
        <v>7</v>
      </c>
      <c r="J17" s="9" t="s">
        <v>33</v>
      </c>
      <c r="K17" s="9"/>
    </row>
    <row r="18" spans="1:11" ht="27.6">
      <c r="A18" s="4" t="s">
        <v>76</v>
      </c>
      <c r="B18" s="4" t="s">
        <v>75</v>
      </c>
      <c r="C18" s="4" t="s">
        <v>36</v>
      </c>
      <c r="D18" s="4">
        <v>9600</v>
      </c>
      <c r="E18" s="4" t="s">
        <v>31</v>
      </c>
      <c r="F18" s="9" t="s">
        <v>36</v>
      </c>
      <c r="G18" s="9" t="s">
        <v>795</v>
      </c>
      <c r="H18" s="11" t="str">
        <f>IF(G18="","",IFERROR(VLOOKUP(G18,ELCD_Catalog!$A$2:$B$609,2,FALSE),""))</f>
        <v>898618b1-3306-11dd-bd11-0800200c9a66</v>
      </c>
      <c r="I18" s="9" t="s">
        <v>7</v>
      </c>
      <c r="J18" s="9" t="s">
        <v>33</v>
      </c>
      <c r="K18" s="9"/>
    </row>
    <row r="19" spans="1:11" ht="27.6">
      <c r="A19" s="4" t="s">
        <v>77</v>
      </c>
      <c r="B19" s="4" t="s">
        <v>75</v>
      </c>
      <c r="C19" s="4" t="s">
        <v>38</v>
      </c>
      <c r="D19" s="4">
        <v>6</v>
      </c>
      <c r="E19" s="4" t="s">
        <v>39</v>
      </c>
      <c r="F19" s="9" t="s">
        <v>40</v>
      </c>
      <c r="G19" s="9" t="s">
        <v>798</v>
      </c>
      <c r="H19" s="11" t="str">
        <f>IF(G19="","",IFERROR(VLOOKUP(G19,ELCD_Catalog!$A$2:$B$609,2,FALSE),""))</f>
        <v>898618b2-3306-11dd-bd11-0800200c9a66</v>
      </c>
      <c r="I19" s="9" t="s">
        <v>7</v>
      </c>
      <c r="J19" s="9" t="s">
        <v>33</v>
      </c>
      <c r="K19" s="9"/>
    </row>
    <row r="20" spans="1:11" ht="27.6">
      <c r="A20" s="4" t="s">
        <v>78</v>
      </c>
      <c r="B20" s="4" t="s">
        <v>75</v>
      </c>
      <c r="C20" s="4" t="s">
        <v>42</v>
      </c>
      <c r="D20" s="4">
        <v>9</v>
      </c>
      <c r="E20" s="4" t="s">
        <v>39</v>
      </c>
      <c r="F20" s="9" t="s">
        <v>42</v>
      </c>
      <c r="G20" s="9" t="s">
        <v>801</v>
      </c>
      <c r="H20" s="11" t="str">
        <f>IF(G20="","",IFERROR(VLOOKUP(G20,ELCD_Catalog!$A$2:$B$609,2,FALSE),""))</f>
        <v>898618b3-3306-11dd-bd11-0800200c9a66</v>
      </c>
      <c r="I20" s="9" t="s">
        <v>7</v>
      </c>
      <c r="J20" s="9" t="s">
        <v>33</v>
      </c>
      <c r="K20" s="9"/>
    </row>
    <row r="21" spans="1:11">
      <c r="A21" s="4" t="s">
        <v>80</v>
      </c>
      <c r="B21" s="4" t="s">
        <v>75</v>
      </c>
      <c r="C21" s="4" t="s">
        <v>81</v>
      </c>
      <c r="D21" s="4">
        <v>12</v>
      </c>
      <c r="E21" s="4" t="s">
        <v>39</v>
      </c>
      <c r="F21" s="9" t="s">
        <v>81</v>
      </c>
      <c r="G21" s="9" t="s">
        <v>153</v>
      </c>
      <c r="H21" s="11" t="str">
        <f>IF(G21="","",IFERROR(VLOOKUP(G21,ELCD_Catalog!$A$2:$B$609,2,FALSE),""))</f>
        <v/>
      </c>
      <c r="I21" s="9" t="s">
        <v>12</v>
      </c>
      <c r="J21" s="9" t="s">
        <v>51</v>
      </c>
      <c r="K21" s="9"/>
    </row>
    <row r="22" spans="1:11" ht="27.6">
      <c r="A22" s="4" t="s">
        <v>83</v>
      </c>
      <c r="B22" s="4" t="s">
        <v>75</v>
      </c>
      <c r="C22" s="4" t="s">
        <v>84</v>
      </c>
      <c r="D22" s="4">
        <v>0.21</v>
      </c>
      <c r="E22" s="4" t="s">
        <v>39</v>
      </c>
      <c r="F22" s="9" t="s">
        <v>114</v>
      </c>
      <c r="G22" s="9" t="s">
        <v>152</v>
      </c>
      <c r="H22" s="11" t="str">
        <f>IF(G22="","",IFERROR(VLOOKUP(G22,ELCD_Catalog!$A$2:$B$609,2,FALSE),""))</f>
        <v>2b61a4d6-bd1d-4ea3-828c-fdbdf5fca1f9</v>
      </c>
      <c r="I22" s="9" t="s">
        <v>10</v>
      </c>
      <c r="J22" s="9" t="s">
        <v>33</v>
      </c>
      <c r="K22" s="9"/>
    </row>
    <row r="23" spans="1:11" ht="41.4">
      <c r="A23" s="4" t="s">
        <v>86</v>
      </c>
      <c r="B23" s="4" t="s">
        <v>75</v>
      </c>
      <c r="C23" s="4" t="s">
        <v>87</v>
      </c>
      <c r="D23" s="4">
        <v>4</v>
      </c>
      <c r="E23" s="4" t="s">
        <v>70</v>
      </c>
      <c r="F23" s="9" t="s">
        <v>88</v>
      </c>
      <c r="G23" s="9" t="s">
        <v>464</v>
      </c>
      <c r="H23" s="11" t="str">
        <f>IF(G23="","",IFERROR(VLOOKUP(G23,ELCD_Catalog!$A$2:$B$609,2,FALSE),""))</f>
        <v>39f61d7a-9cea-4e61-b292-50ad6ee05ccc</v>
      </c>
      <c r="I23" s="9" t="s">
        <v>10</v>
      </c>
      <c r="J23" s="9" t="s">
        <v>33</v>
      </c>
      <c r="K23" s="9"/>
    </row>
    <row r="24" spans="1:11">
      <c r="A24" s="4" t="s">
        <v>90</v>
      </c>
      <c r="B24" s="4" t="s">
        <v>75</v>
      </c>
      <c r="C24" s="4" t="s">
        <v>91</v>
      </c>
      <c r="D24" s="4">
        <v>2</v>
      </c>
      <c r="E24" s="4" t="s">
        <v>31</v>
      </c>
      <c r="F24" s="9" t="s">
        <v>91</v>
      </c>
      <c r="G24" s="9" t="s">
        <v>153</v>
      </c>
      <c r="H24" s="11" t="str">
        <f>IF(G24="","",IFERROR(VLOOKUP(G24,ELCD_Catalog!$A$2:$B$609,2,FALSE),""))</f>
        <v/>
      </c>
      <c r="I24" s="9" t="s">
        <v>12</v>
      </c>
      <c r="J24" s="9" t="s">
        <v>51</v>
      </c>
      <c r="K24" s="9"/>
    </row>
    <row r="25" spans="1:11" ht="27.6">
      <c r="A25" s="4" t="s">
        <v>94</v>
      </c>
      <c r="B25" s="4" t="s">
        <v>75</v>
      </c>
      <c r="C25" s="4" t="s">
        <v>95</v>
      </c>
      <c r="D25" s="4">
        <v>116</v>
      </c>
      <c r="E25" s="4" t="s">
        <v>31</v>
      </c>
      <c r="F25" s="9" t="s">
        <v>55</v>
      </c>
      <c r="G25" s="9" t="s">
        <v>384</v>
      </c>
      <c r="H25" s="11" t="str">
        <f>IF(G25="","",IFERROR(VLOOKUP(G25,ELCD_Catalog!$A$2:$B$609,2,FALSE),""))</f>
        <v>268a11fb-baf2-4b9e-8867-38bea0e76ef6</v>
      </c>
      <c r="I25" s="9" t="s">
        <v>7</v>
      </c>
      <c r="J25" s="9" t="s">
        <v>33</v>
      </c>
      <c r="K25" s="9"/>
    </row>
    <row r="26" spans="1:11" ht="27.6">
      <c r="A26" s="4" t="s">
        <v>96</v>
      </c>
      <c r="B26" s="4" t="s">
        <v>75</v>
      </c>
      <c r="C26" s="4" t="s">
        <v>97</v>
      </c>
      <c r="D26" s="4">
        <v>51</v>
      </c>
      <c r="E26" s="4" t="s">
        <v>31</v>
      </c>
      <c r="F26" s="9" t="s">
        <v>55</v>
      </c>
      <c r="G26" s="9" t="s">
        <v>384</v>
      </c>
      <c r="H26" s="11" t="str">
        <f>IF(G26="","",IFERROR(VLOOKUP(G26,ELCD_Catalog!$A$2:$B$609,2,FALSE),""))</f>
        <v>268a11fb-baf2-4b9e-8867-38bea0e76ef6</v>
      </c>
      <c r="I26" s="9" t="s">
        <v>7</v>
      </c>
      <c r="J26" s="9" t="s">
        <v>33</v>
      </c>
      <c r="K26" s="9"/>
    </row>
    <row r="27" spans="1:11" ht="27.6">
      <c r="A27" s="4" t="s">
        <v>98</v>
      </c>
      <c r="B27" s="4" t="s">
        <v>75</v>
      </c>
      <c r="C27" s="4" t="s">
        <v>99</v>
      </c>
      <c r="D27" s="4">
        <v>4</v>
      </c>
      <c r="E27" s="4" t="s">
        <v>31</v>
      </c>
      <c r="F27" s="9" t="s">
        <v>122</v>
      </c>
      <c r="G27" s="9" t="s">
        <v>155</v>
      </c>
      <c r="H27" s="11" t="str">
        <f>IF(G27="","",IFERROR(VLOOKUP(G27,ELCD_Catalog!$A$2:$B$609,2,FALSE),""))</f>
        <v>11bceac4-b3d8-4048-8e80-b691ecd2c261</v>
      </c>
      <c r="I27" s="9" t="s">
        <v>7</v>
      </c>
      <c r="J27" s="9" t="s">
        <v>33</v>
      </c>
      <c r="K27" s="9"/>
    </row>
    <row r="28" spans="1:11" ht="27.6">
      <c r="A28" s="4" t="s">
        <v>100</v>
      </c>
      <c r="B28" s="4" t="s">
        <v>75</v>
      </c>
      <c r="C28" s="4" t="s">
        <v>101</v>
      </c>
      <c r="D28" s="4">
        <v>630</v>
      </c>
      <c r="E28" s="4" t="s">
        <v>31</v>
      </c>
      <c r="F28" s="9" t="s">
        <v>119</v>
      </c>
      <c r="G28" s="9" t="s">
        <v>151</v>
      </c>
      <c r="H28" s="11" t="str">
        <f>IF(G28="","",IFERROR(VLOOKUP(G28,ELCD_Catalog!$A$2:$B$609,2,FALSE),""))</f>
        <v>7311da1a-673f-96b5-66ef-00004409928e</v>
      </c>
      <c r="I28" s="9" t="s">
        <v>10</v>
      </c>
      <c r="J28" s="9" t="s">
        <v>33</v>
      </c>
      <c r="K28" s="9"/>
    </row>
    <row r="29" spans="1:11" ht="41.4">
      <c r="A29" s="4" t="s">
        <v>102</v>
      </c>
      <c r="B29" s="4" t="s">
        <v>75</v>
      </c>
      <c r="C29" s="4" t="s">
        <v>103</v>
      </c>
      <c r="D29" s="4">
        <v>3</v>
      </c>
      <c r="E29" s="4" t="s">
        <v>70</v>
      </c>
      <c r="F29" s="9" t="s">
        <v>88</v>
      </c>
      <c r="G29" s="9" t="s">
        <v>651</v>
      </c>
      <c r="H29" s="11" t="str">
        <f>IF(G29="","",IFERROR(VLOOKUP(G29,ELCD_Catalog!$A$2:$B$609,2,FALSE),""))</f>
        <v>64197303-3307-11dd-bd11-0800200c9a66</v>
      </c>
      <c r="I29" s="9" t="s">
        <v>10</v>
      </c>
      <c r="J29" s="9" t="s">
        <v>33</v>
      </c>
      <c r="K29" s="9"/>
    </row>
    <row r="30" spans="1:11">
      <c r="A30" s="4" t="s">
        <v>104</v>
      </c>
      <c r="B30" s="4" t="s">
        <v>75</v>
      </c>
      <c r="C30" s="4" t="s">
        <v>105</v>
      </c>
      <c r="D30" s="4">
        <v>4.82</v>
      </c>
      <c r="E30" s="4" t="s">
        <v>39</v>
      </c>
      <c r="F30" s="9" t="s">
        <v>105</v>
      </c>
      <c r="G30" s="9" t="s">
        <v>153</v>
      </c>
      <c r="H30" s="11" t="str">
        <f>IF(G30="","",IFERROR(VLOOKUP(G30,ELCD_Catalog!$A$2:$B$609,2,FALSE),""))</f>
        <v/>
      </c>
      <c r="I30" s="9" t="s">
        <v>12</v>
      </c>
      <c r="J30" s="9" t="s">
        <v>51</v>
      </c>
      <c r="K30" s="9"/>
    </row>
    <row r="31" spans="1:11" ht="27.6">
      <c r="A31" s="4" t="s">
        <v>106</v>
      </c>
      <c r="B31" s="4" t="s">
        <v>107</v>
      </c>
      <c r="C31" s="4" t="s">
        <v>32</v>
      </c>
      <c r="D31" s="4">
        <v>7300</v>
      </c>
      <c r="E31" s="4" t="s">
        <v>31</v>
      </c>
      <c r="F31" s="9" t="s">
        <v>32</v>
      </c>
      <c r="G31" s="9" t="s">
        <v>622</v>
      </c>
      <c r="H31" s="11" t="str">
        <f>IF(G31="","",IFERROR(VLOOKUP(G31,ELCD_Catalog!$A$2:$B$609,2,FALSE),""))</f>
        <v>600573dd-dfa5-44e5-b458-8727e793ffd7</v>
      </c>
      <c r="I31" s="9" t="s">
        <v>7</v>
      </c>
      <c r="J31" s="9" t="s">
        <v>33</v>
      </c>
      <c r="K31" s="9"/>
    </row>
    <row r="32" spans="1:11" ht="27.6">
      <c r="A32" s="4" t="s">
        <v>108</v>
      </c>
      <c r="B32" s="4" t="s">
        <v>107</v>
      </c>
      <c r="C32" s="4" t="s">
        <v>36</v>
      </c>
      <c r="D32" s="4">
        <v>27200</v>
      </c>
      <c r="E32" s="4" t="s">
        <v>31</v>
      </c>
      <c r="F32" s="9" t="s">
        <v>36</v>
      </c>
      <c r="G32" s="9" t="s">
        <v>795</v>
      </c>
      <c r="H32" s="11" t="str">
        <f>IF(G32="","",IFERROR(VLOOKUP(G32,ELCD_Catalog!$A$2:$B$609,2,FALSE),""))</f>
        <v>898618b1-3306-11dd-bd11-0800200c9a66</v>
      </c>
      <c r="I32" s="9" t="s">
        <v>7</v>
      </c>
      <c r="J32" s="9" t="s">
        <v>33</v>
      </c>
      <c r="K32" s="9"/>
    </row>
    <row r="33" spans="1:11" ht="27.6">
      <c r="A33" s="4" t="s">
        <v>109</v>
      </c>
      <c r="B33" s="4" t="s">
        <v>107</v>
      </c>
      <c r="C33" s="4" t="s">
        <v>38</v>
      </c>
      <c r="D33" s="4">
        <v>6</v>
      </c>
      <c r="E33" s="4" t="s">
        <v>39</v>
      </c>
      <c r="F33" s="9" t="s">
        <v>40</v>
      </c>
      <c r="G33" s="9" t="s">
        <v>798</v>
      </c>
      <c r="H33" s="11" t="str">
        <f>IF(G33="","",IFERROR(VLOOKUP(G33,ELCD_Catalog!$A$2:$B$609,2,FALSE),""))</f>
        <v>898618b2-3306-11dd-bd11-0800200c9a66</v>
      </c>
      <c r="I33" s="9" t="s">
        <v>7</v>
      </c>
      <c r="J33" s="9" t="s">
        <v>33</v>
      </c>
      <c r="K33" s="9"/>
    </row>
    <row r="34" spans="1:11">
      <c r="A34" s="4" t="s">
        <v>110</v>
      </c>
      <c r="B34" s="4" t="s">
        <v>107</v>
      </c>
      <c r="C34" s="4" t="s">
        <v>111</v>
      </c>
      <c r="D34" s="4">
        <v>6042</v>
      </c>
      <c r="E34" s="4" t="s">
        <v>112</v>
      </c>
      <c r="F34" s="9" t="s">
        <v>124</v>
      </c>
      <c r="G34" s="9" t="s">
        <v>153</v>
      </c>
      <c r="H34" s="11" t="str">
        <f>IF(G34="","",IFERROR(VLOOKUP(G34,ELCD_Catalog!$A$2:$B$609,2,FALSE),""))</f>
        <v/>
      </c>
      <c r="I34" s="9" t="s">
        <v>12</v>
      </c>
      <c r="J34" s="9" t="s">
        <v>51</v>
      </c>
      <c r="K34" s="9"/>
    </row>
    <row r="35" spans="1:11" ht="27.6">
      <c r="A35" s="4" t="s">
        <v>113</v>
      </c>
      <c r="B35" s="4" t="s">
        <v>107</v>
      </c>
      <c r="C35" s="4" t="s">
        <v>114</v>
      </c>
      <c r="D35" s="4">
        <v>0.26400000000000001</v>
      </c>
      <c r="E35" s="4" t="s">
        <v>39</v>
      </c>
      <c r="F35" s="9" t="s">
        <v>114</v>
      </c>
      <c r="G35" s="9" t="s">
        <v>154</v>
      </c>
      <c r="H35" s="11" t="str">
        <f>IF(G35="","",IFERROR(VLOOKUP(G35,ELCD_Catalog!$A$2:$B$609,2,FALSE),""))</f>
        <v>621e64d0-f471-4023-9ebc-a52cd8ee573f</v>
      </c>
      <c r="I35" s="9" t="s">
        <v>10</v>
      </c>
      <c r="J35" s="9" t="s">
        <v>33</v>
      </c>
      <c r="K35" s="9"/>
    </row>
    <row r="36" spans="1:11">
      <c r="A36" s="4" t="s">
        <v>115</v>
      </c>
      <c r="B36" s="4" t="s">
        <v>107</v>
      </c>
      <c r="C36" s="4" t="s">
        <v>105</v>
      </c>
      <c r="D36" s="4">
        <v>5.915</v>
      </c>
      <c r="E36" s="4" t="s">
        <v>39</v>
      </c>
      <c r="F36" s="9" t="s">
        <v>105</v>
      </c>
      <c r="G36" s="9" t="s">
        <v>153</v>
      </c>
      <c r="H36" s="11" t="str">
        <f>IF(G36="","",IFERROR(VLOOKUP(G36,ELCD_Catalog!$A$2:$B$609,2,FALSE),""))</f>
        <v/>
      </c>
      <c r="I36" s="9" t="s">
        <v>12</v>
      </c>
      <c r="J36" s="9" t="s">
        <v>51</v>
      </c>
      <c r="K36" s="9"/>
    </row>
    <row r="37" spans="1:11" ht="27.6">
      <c r="A37" s="4" t="s">
        <v>116</v>
      </c>
      <c r="B37" s="4" t="s">
        <v>107</v>
      </c>
      <c r="C37" s="4" t="s">
        <v>55</v>
      </c>
      <c r="D37" s="4">
        <v>674</v>
      </c>
      <c r="E37" s="4" t="s">
        <v>31</v>
      </c>
      <c r="F37" s="9" t="s">
        <v>55</v>
      </c>
      <c r="G37" s="9" t="s">
        <v>384</v>
      </c>
      <c r="H37" s="11" t="str">
        <f>IF(G37="","",IFERROR(VLOOKUP(G37,ELCD_Catalog!$A$2:$B$609,2,FALSE),""))</f>
        <v>268a11fb-baf2-4b9e-8867-38bea0e76ef6</v>
      </c>
      <c r="I37" s="9" t="s">
        <v>7</v>
      </c>
      <c r="J37" s="9" t="s">
        <v>33</v>
      </c>
      <c r="K37" s="9"/>
    </row>
    <row r="38" spans="1:11">
      <c r="A38" s="4" t="s">
        <v>117</v>
      </c>
      <c r="B38" s="4" t="s">
        <v>107</v>
      </c>
      <c r="C38" s="4" t="s">
        <v>81</v>
      </c>
      <c r="D38" s="4">
        <v>3</v>
      </c>
      <c r="E38" s="4" t="s">
        <v>39</v>
      </c>
      <c r="F38" s="9" t="s">
        <v>81</v>
      </c>
      <c r="G38" s="9" t="s">
        <v>153</v>
      </c>
      <c r="H38" s="11" t="str">
        <f>IF(G38="","",IFERROR(VLOOKUP(G38,ELCD_Catalog!$A$2:$B$609,2,FALSE),""))</f>
        <v/>
      </c>
      <c r="I38" s="9" t="s">
        <v>12</v>
      </c>
      <c r="J38" s="9" t="s">
        <v>51</v>
      </c>
      <c r="K38" s="9"/>
    </row>
    <row r="39" spans="1:11" ht="27.6">
      <c r="A39" s="5" t="s">
        <v>118</v>
      </c>
      <c r="B39" s="5" t="s">
        <v>107</v>
      </c>
      <c r="C39" s="5" t="s">
        <v>119</v>
      </c>
      <c r="D39" s="5">
        <v>478.07</v>
      </c>
      <c r="E39" s="5" t="s">
        <v>31</v>
      </c>
      <c r="F39" s="10" t="s">
        <v>119</v>
      </c>
      <c r="G39" s="10" t="s">
        <v>151</v>
      </c>
      <c r="H39" s="12" t="str">
        <f>IF(G39="","",IFERROR(VLOOKUP(G39,ELCD_Catalog!$A$2:$B$609,2,FALSE),""))</f>
        <v>7311da1a-673f-96b5-66ef-00004409928e</v>
      </c>
      <c r="I39" s="10" t="s">
        <v>10</v>
      </c>
      <c r="J39" s="10" t="s">
        <v>33</v>
      </c>
      <c r="K39" s="10"/>
    </row>
  </sheetData>
  <mergeCells count="1">
    <mergeCell ref="A1:K1"/>
  </mergeCells>
  <dataValidations count="3">
    <dataValidation type="list" sqref="I5:I39" xr:uid="{00000000-0002-0000-0200-000000000000}">
      <formula1>"Direct,Proxy,Review Required"</formula1>
    </dataValidation>
    <dataValidation type="list" sqref="J5:J39" xr:uid="{00000000-0002-0000-0200-000001000000}">
      <formula1>"High,Medium,Low"</formula1>
    </dataValidation>
    <dataValidation type="list" sqref="G5:G39" xr:uid="{00000000-0002-0000-0200-000002000000}">
      <formula1>INDIRECT("ELCD_Catalog!$A$2:$A$609")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1"/>
  <sheetViews>
    <sheetView topLeftCell="H14" workbookViewId="0">
      <selection sqref="A1:Q1"/>
    </sheetView>
  </sheetViews>
  <sheetFormatPr defaultRowHeight="13.8"/>
  <cols>
    <col min="1" max="1" width="30" customWidth="1"/>
    <col min="2" max="2" width="12" customWidth="1"/>
    <col min="3" max="3" width="25" customWidth="1"/>
    <col min="4" max="4" width="24" customWidth="1"/>
    <col min="5" max="5" width="12" customWidth="1"/>
    <col min="6" max="6" width="25" customWidth="1"/>
    <col min="7" max="7" width="58" customWidth="1"/>
    <col min="8" max="8" width="16" customWidth="1"/>
    <col min="9" max="9" width="15" customWidth="1"/>
    <col min="10" max="10" width="27" customWidth="1"/>
    <col min="11" max="11" width="58" customWidth="1"/>
    <col min="12" max="12" width="38" customWidth="1"/>
    <col min="13" max="13" width="18" customWidth="1"/>
    <col min="14" max="14" width="27" customWidth="1"/>
    <col min="15" max="15" width="58" customWidth="1"/>
    <col min="16" max="16" width="18" customWidth="1"/>
    <col min="17" max="17" width="22" customWidth="1"/>
    <col min="18" max="18" width="34" customWidth="1"/>
  </cols>
  <sheetData>
    <row r="1" spans="1:18" ht="17.399999999999999">
      <c r="A1" s="32" t="s">
        <v>125</v>
      </c>
      <c r="B1" s="32"/>
      <c r="C1" s="32"/>
      <c r="D1" s="32"/>
      <c r="E1" s="32"/>
      <c r="F1" s="32"/>
      <c r="G1" s="32"/>
      <c r="H1" s="32"/>
      <c r="I1" s="32"/>
      <c r="J1" s="32"/>
      <c r="K1" s="32"/>
      <c r="L1" s="32"/>
      <c r="M1" s="32"/>
      <c r="N1" s="32"/>
      <c r="O1" s="32"/>
      <c r="P1" s="32"/>
      <c r="Q1" s="32"/>
      <c r="R1" s="13"/>
    </row>
    <row r="2" spans="1:18" ht="14.25" customHeight="1">
      <c r="A2" s="33" t="s">
        <v>1743</v>
      </c>
      <c r="B2" s="33"/>
      <c r="C2" s="33"/>
      <c r="D2" s="33"/>
      <c r="E2" s="33"/>
      <c r="F2" s="33"/>
      <c r="G2" s="33"/>
      <c r="H2" s="33"/>
      <c r="I2" s="33"/>
      <c r="J2" s="33"/>
      <c r="K2" s="33"/>
      <c r="L2" s="33"/>
      <c r="M2" s="33"/>
      <c r="N2" s="33"/>
      <c r="O2" s="33"/>
      <c r="P2" s="33"/>
      <c r="Q2" s="33"/>
      <c r="R2" s="33"/>
    </row>
    <row r="3" spans="1:18">
      <c r="A3" s="1" t="s">
        <v>126</v>
      </c>
      <c r="B3" s="2" t="s">
        <v>127</v>
      </c>
      <c r="C3" s="3"/>
      <c r="D3" s="1" t="s">
        <v>128</v>
      </c>
      <c r="E3" s="2" t="s">
        <v>127</v>
      </c>
      <c r="F3" s="3"/>
      <c r="G3" s="3"/>
      <c r="H3" s="3"/>
      <c r="I3" s="3"/>
      <c r="J3" s="3"/>
      <c r="K3" s="3"/>
      <c r="L3" s="3"/>
      <c r="M3" s="3"/>
      <c r="N3" s="3"/>
      <c r="O3" s="3"/>
      <c r="P3" s="3"/>
      <c r="Q3" s="3"/>
    </row>
    <row r="4" spans="1:18" ht="11.1" customHeight="1">
      <c r="A4" s="3" t="s">
        <v>129</v>
      </c>
      <c r="B4" s="22">
        <f>COUNTIF(QC_Summary!C13:C47,"YES")/35</f>
        <v>0.82857142857142863</v>
      </c>
      <c r="C4" s="3"/>
      <c r="D4" s="3" t="s">
        <v>130</v>
      </c>
      <c r="E4" s="22">
        <f>COUNTIF(QC_Summary!E13:E47,"YES")/35</f>
        <v>0.8571428571428571</v>
      </c>
      <c r="F4" s="3"/>
      <c r="G4" s="3"/>
      <c r="H4" s="3"/>
      <c r="I4" s="3"/>
      <c r="J4" s="3"/>
      <c r="K4" s="3"/>
      <c r="L4" s="3"/>
      <c r="M4" s="3"/>
      <c r="N4" s="3"/>
      <c r="O4" s="3"/>
      <c r="P4" s="3"/>
      <c r="Q4" s="3"/>
    </row>
    <row r="5" spans="1:18" ht="11.1" customHeight="1">
      <c r="A5" s="3" t="s">
        <v>131</v>
      </c>
      <c r="B5" s="22">
        <f>COUNTIF(QC_Summary!D13:D47,"YES")/35</f>
        <v>0.7142857142857143</v>
      </c>
      <c r="C5" s="3"/>
      <c r="D5" s="3" t="s">
        <v>132</v>
      </c>
      <c r="E5" s="22">
        <f>COUNTIF(QC_Summary!F13:F47,"AGREE")/35</f>
        <v>0.5714285714285714</v>
      </c>
      <c r="F5" s="3"/>
      <c r="G5" s="3"/>
      <c r="H5" s="3"/>
      <c r="I5" s="3"/>
      <c r="J5" s="3"/>
      <c r="K5" s="3"/>
      <c r="L5" s="3"/>
      <c r="M5" s="3"/>
      <c r="N5" s="3"/>
      <c r="O5" s="3"/>
      <c r="P5" s="3"/>
      <c r="Q5" s="3"/>
    </row>
    <row r="6" spans="1:18" ht="41.4">
      <c r="A6" s="14" t="s">
        <v>18</v>
      </c>
      <c r="B6" s="16" t="s">
        <v>20</v>
      </c>
      <c r="C6" s="16" t="s">
        <v>133</v>
      </c>
      <c r="D6" s="16" t="s">
        <v>134</v>
      </c>
      <c r="E6" s="16" t="s">
        <v>135</v>
      </c>
      <c r="F6" s="16" t="s">
        <v>136</v>
      </c>
      <c r="G6" s="16" t="s">
        <v>137</v>
      </c>
      <c r="H6" s="16" t="s">
        <v>138</v>
      </c>
      <c r="I6" s="16" t="s">
        <v>139</v>
      </c>
      <c r="J6" s="16" t="s">
        <v>140</v>
      </c>
      <c r="K6" s="16" t="s">
        <v>141</v>
      </c>
      <c r="L6" s="16" t="s">
        <v>142</v>
      </c>
      <c r="M6" s="16" t="s">
        <v>143</v>
      </c>
      <c r="N6" s="16" t="s">
        <v>144</v>
      </c>
      <c r="O6" s="16" t="s">
        <v>145</v>
      </c>
      <c r="P6" s="16" t="s">
        <v>146</v>
      </c>
      <c r="Q6" s="15" t="s">
        <v>147</v>
      </c>
      <c r="R6" s="17" t="s">
        <v>148</v>
      </c>
    </row>
    <row r="7" spans="1:18" ht="69">
      <c r="A7" s="4" t="s">
        <v>28</v>
      </c>
      <c r="B7" s="4" t="s">
        <v>30</v>
      </c>
      <c r="C7" s="18" t="str">
        <f>IF(Expert_A!F5="","",Expert_A!F5)</f>
        <v>Cement</v>
      </c>
      <c r="D7" s="18" t="str">
        <f>IF(Expert_A!G5="","",Expert_A!G5)</f>
        <v>Portland cement (CEM I), CEMBUREAU production mix, at plant, CEMBUREAU technology mix, EN 197-1 | RER | 600573dd</v>
      </c>
      <c r="E7" s="18" t="str">
        <f>IF(Expert_A!I5="","",Expert_A!I5)</f>
        <v>Direct</v>
      </c>
      <c r="F7" s="18" t="str">
        <f>IF(Expert_B!F5="","",Expert_B!F5)</f>
        <v>Cement</v>
      </c>
      <c r="G7" s="18" t="str">
        <f>IF(Expert_B!G5="","",Expert_B!G5)</f>
        <v>Portland cement (CEM I), CEMBUREAU production mix, at plant, CEMBUREAU technology mix, EN 197-1 | RER | 600573dd</v>
      </c>
      <c r="H7" s="18" t="str">
        <f>IF(Expert_B!I5="","",Expert_B!I5)</f>
        <v>Direct</v>
      </c>
      <c r="I7" s="18" t="str">
        <f t="shared" ref="I7:I41" si="0">IF(OR(C7="",F7="",E7="",H7="",AND(E7&lt;&gt;"Review Required",OR(D7="",LOWER(TRIM(D7))="not available",LOWER(TRIM(D7))="n/a")),AND(H7&lt;&gt;"Review Required",OR(G7="",LOWER(TRIM(G7))="not available",LOWER(TRIM(G7))="n/a"))),"INCOMPLETE",IF(AND(TRIM(C7)=TRIM(F7),TRIM(D7)=TRIM(G7),E7=H7),"AGREE",IF(OR(TRIM(C7)=TRIM(F7),TRIM(D7)=TRIM(G7),E7=H7),"PARTIAL","RECONCILE")))</f>
        <v>AGREE</v>
      </c>
      <c r="J7" s="9" t="str">
        <f t="shared" ref="J7:J40" si="1">IF(AND(C7&lt;&gt;"",F7&lt;&gt;"",TRIM(C7)=TRIM(F7)),TRIM(C7),"")</f>
        <v>Cement</v>
      </c>
      <c r="K7" s="9" t="str">
        <f t="shared" ref="K7:K39" si="2">IF(AND(D7&lt;&gt;"",G7&lt;&gt;"",D7=G7),D7,"")</f>
        <v>Portland cement (CEM I), CEMBUREAU production mix, at plant, CEMBUREAU technology mix, EN 197-1 | RER | 600573dd</v>
      </c>
      <c r="L7" s="11" t="str">
        <f>IF(OR(K7="",LOWER(TRIM(K7))="not available",LOWER(TRIM(K7))="n/a"),"",IFERROR(VLOOKUP(K7,ELCD_Catalog!$A$2:$B$609,2,FALSE),""))</f>
        <v>600573dd-dfa5-44e5-b458-8727e793ffd7</v>
      </c>
      <c r="M7" s="9" t="str">
        <f t="shared" ref="M7:M41" si="3">IF(OR(K7="",LOWER(TRIM(K7))="not available",LOWER(TRIM(K7))="n/a"),"Review Required",IF(AND(E7="Direct",H7="Direct"),"Direct","Proxy"))</f>
        <v>Direct</v>
      </c>
      <c r="N7" s="20"/>
      <c r="O7" s="20"/>
      <c r="P7" s="20"/>
      <c r="Q7" s="20"/>
      <c r="R7" s="20"/>
    </row>
    <row r="8" spans="1:18" ht="41.4">
      <c r="A8" s="4" t="s">
        <v>34</v>
      </c>
      <c r="B8" s="4" t="s">
        <v>35</v>
      </c>
      <c r="C8" s="18" t="str">
        <f>IF(Expert_A!F6="","",Expert_A!F6)</f>
        <v>Sand</v>
      </c>
      <c r="D8" s="18" t="str">
        <f>IF(Expert_A!G6="","",Expert_A!G6)</f>
        <v>Sand 0/2, production mix, at plant, wet and dry quarry, undried | RER | 898618b1</v>
      </c>
      <c r="E8" s="18" t="str">
        <f>IF(Expert_A!I6="","",Expert_A!I6)</f>
        <v>Direct</v>
      </c>
      <c r="F8" s="18" t="str">
        <f>IF(Expert_B!F6="","",Expert_B!F6)</f>
        <v>Sand</v>
      </c>
      <c r="G8" s="18" t="str">
        <f>IF(Expert_B!G6="","",Expert_B!G6)</f>
        <v>Sand 0/2, production mix, at plant, wet and dry quarry, undried | RER | 898618b1</v>
      </c>
      <c r="H8" s="18" t="str">
        <f>IF(Expert_B!I6="","",Expert_B!I6)</f>
        <v>Direct</v>
      </c>
      <c r="I8" s="18" t="str">
        <f t="shared" si="0"/>
        <v>AGREE</v>
      </c>
      <c r="J8" s="9" t="str">
        <f t="shared" si="1"/>
        <v>Sand</v>
      </c>
      <c r="K8" s="9" t="str">
        <f t="shared" si="2"/>
        <v>Sand 0/2, production mix, at plant, wet and dry quarry, undried | RER | 898618b1</v>
      </c>
      <c r="L8" s="11" t="str">
        <f>IF(OR(K8="",LOWER(TRIM(K8))="not available",LOWER(TRIM(K8))="n/a"),"",IFERROR(VLOOKUP(K8,ELCD_Catalog!$A$2:$B$609,2,FALSE),""))</f>
        <v>898618b1-3306-11dd-bd11-0800200c9a66</v>
      </c>
      <c r="M8" s="9" t="str">
        <f t="shared" si="3"/>
        <v>Direct</v>
      </c>
      <c r="N8" s="20"/>
      <c r="O8" s="20"/>
      <c r="P8" s="20"/>
      <c r="Q8" s="20"/>
      <c r="R8" s="20"/>
    </row>
    <row r="9" spans="1:18" ht="41.4">
      <c r="A9" s="4" t="s">
        <v>37</v>
      </c>
      <c r="B9" s="4" t="s">
        <v>38</v>
      </c>
      <c r="C9" s="18" t="str">
        <f>IF(Expert_A!F7="","",Expert_A!F7)</f>
        <v>Gravel</v>
      </c>
      <c r="D9" s="18" t="str">
        <f>IF(Expert_A!G7="","",Expert_A!G7)</f>
        <v>Gravel 2/32, production mix, at plant, wet and dry quarry, undried | RER | 898618b2</v>
      </c>
      <c r="E9" s="18" t="str">
        <f>IF(Expert_A!I7="","",Expert_A!I7)</f>
        <v>Direct</v>
      </c>
      <c r="F9" s="18" t="str">
        <f>IF(Expert_B!F7="","",Expert_B!F7)</f>
        <v>Gravel</v>
      </c>
      <c r="G9" s="18" t="str">
        <f>IF(Expert_B!G7="","",Expert_B!G7)</f>
        <v>Gravel 2/32, production mix, at plant, wet and dry quarry, undried | RER | 898618b2</v>
      </c>
      <c r="H9" s="18" t="str">
        <f>IF(Expert_B!I7="","",Expert_B!I7)</f>
        <v>Direct</v>
      </c>
      <c r="I9" s="18" t="str">
        <f t="shared" si="0"/>
        <v>AGREE</v>
      </c>
      <c r="J9" s="9" t="str">
        <f t="shared" si="1"/>
        <v>Gravel</v>
      </c>
      <c r="K9" s="9" t="str">
        <f t="shared" si="2"/>
        <v>Gravel 2/32, production mix, at plant, wet and dry quarry, undried | RER | 898618b2</v>
      </c>
      <c r="L9" s="11" t="str">
        <f>IF(OR(K9="",LOWER(TRIM(K9))="not available",LOWER(TRIM(K9))="n/a"),"",IFERROR(VLOOKUP(K9,ELCD_Catalog!$A$2:$B$609,2,FALSE),""))</f>
        <v>898618b2-3306-11dd-bd11-0800200c9a66</v>
      </c>
      <c r="M9" s="9" t="str">
        <f t="shared" si="3"/>
        <v>Direct</v>
      </c>
      <c r="N9" s="20"/>
      <c r="O9" s="20"/>
      <c r="P9" s="20"/>
      <c r="Q9" s="20"/>
      <c r="R9" s="20"/>
    </row>
    <row r="10" spans="1:18" ht="55.2">
      <c r="A10" s="4" t="s">
        <v>41</v>
      </c>
      <c r="B10" s="4" t="s">
        <v>42</v>
      </c>
      <c r="C10" s="18" t="str">
        <f>IF(Expert_A!F8="","",Expert_A!F8)</f>
        <v>Stone</v>
      </c>
      <c r="D10" s="18" t="str">
        <f>IF(Expert_A!G8="","",Expert_A!G8)</f>
        <v>Crushed stone 16/32, production mix, at plant, open pit mining, undried | RER | 898618b3</v>
      </c>
      <c r="E10" s="18" t="str">
        <f>IF(Expert_A!I8="","",Expert_A!I8)</f>
        <v>Proxy</v>
      </c>
      <c r="F10" s="18" t="str">
        <f>IF(Expert_B!F8="","",Expert_B!F8)</f>
        <v>Stone</v>
      </c>
      <c r="G10" s="18" t="str">
        <f>IF(Expert_B!G8="","",Expert_B!G8)</f>
        <v>Crushed stone 16/32, production mix, at plant, open pit mining, undried | RER | 898618b3</v>
      </c>
      <c r="H10" s="18" t="str">
        <f>IF(Expert_B!I8="","",Expert_B!I8)</f>
        <v>Direct</v>
      </c>
      <c r="I10" s="18" t="str">
        <f t="shared" si="0"/>
        <v>PARTIAL</v>
      </c>
      <c r="J10" s="9" t="str">
        <f t="shared" si="1"/>
        <v>Stone</v>
      </c>
      <c r="K10" s="9" t="str">
        <f t="shared" si="2"/>
        <v>Crushed stone 16/32, production mix, at plant, open pit mining, undried | RER | 898618b3</v>
      </c>
      <c r="L10" s="11" t="str">
        <f>IF(OR(K10="",LOWER(TRIM(K10))="not available",LOWER(TRIM(K10))="n/a"),"",IFERROR(VLOOKUP(K10,ELCD_Catalog!$A$2:$B$609,2,FALSE),""))</f>
        <v>898618b3-3306-11dd-bd11-0800200c9a66</v>
      </c>
      <c r="M10" s="9" t="str">
        <f>IF(OR(K10="",LOWER(TRIM(K10))="not available",LOWER(TRIM(K10))="n/a"),"Review Required",IF(AND(E10="Direct",H10="Direct"),"Direct","Proxy"))</f>
        <v>Proxy</v>
      </c>
      <c r="N10" s="20"/>
      <c r="O10" s="20"/>
      <c r="P10" s="20"/>
      <c r="Q10" s="20"/>
      <c r="R10" s="20"/>
    </row>
    <row r="11" spans="1:18" ht="82.8">
      <c r="A11" s="4" t="s">
        <v>45</v>
      </c>
      <c r="B11" s="4" t="s">
        <v>46</v>
      </c>
      <c r="C11" s="18" t="str">
        <f>IF(Expert_A!F9="","",Expert_A!F9)</f>
        <v>Concrete</v>
      </c>
      <c r="D11" s="18" t="str">
        <f>IF(Expert_A!G9="","",Expert_A!G9)</f>
        <v>Pre-cast concrete, production mix, at plant, minimum reinforcement, concrete type C20/25, without consideration of casings | RER | 898618b0</v>
      </c>
      <c r="E11" s="18" t="str">
        <f>IF(Expert_A!I9="","",Expert_A!I9)</f>
        <v>Direct</v>
      </c>
      <c r="F11" s="18" t="str">
        <f>IF(Expert_B!F9="","",Expert_B!F9)</f>
        <v>Concrete</v>
      </c>
      <c r="G11" s="18" t="str">
        <f>IF(Expert_B!G9="","",Expert_B!G9)</f>
        <v>Pre-cast concrete, production mix, at plant, minimum reinforcement, concrete type C20/25, without consideration of casings | RER | 898618b0</v>
      </c>
      <c r="H11" s="18" t="str">
        <f>IF(Expert_B!I9="","",Expert_B!I9)</f>
        <v>Proxy</v>
      </c>
      <c r="I11" s="18" t="str">
        <f t="shared" si="0"/>
        <v>PARTIAL</v>
      </c>
      <c r="J11" s="9" t="str">
        <f t="shared" si="1"/>
        <v>Concrete</v>
      </c>
      <c r="K11" s="9" t="str">
        <f t="shared" si="2"/>
        <v>Pre-cast concrete, production mix, at plant, minimum reinforcement, concrete type C20/25, without consideration of casings | RER | 898618b0</v>
      </c>
      <c r="L11" s="11" t="str">
        <f>IF(OR(K11="",LOWER(TRIM(K11))="not available",LOWER(TRIM(K11))="n/a"),"",IFERROR(VLOOKUP(K11,ELCD_Catalog!$A$2:$B$609,2,FALSE),""))</f>
        <v>898618b0-3306-11dd-bd11-0800200c9a66</v>
      </c>
      <c r="M11" s="9" t="str">
        <f>IF(OR(K11="",LOWER(TRIM(K11))="not available",LOWER(TRIM(K11))="n/a"),"Review Required",IF(AND(E11="Direct",H11="Direct"),"Direct","Proxy"))</f>
        <v>Proxy</v>
      </c>
      <c r="N11" s="20"/>
      <c r="O11" s="20"/>
      <c r="P11" s="20"/>
      <c r="Q11" s="20"/>
      <c r="R11" s="20"/>
    </row>
    <row r="12" spans="1:18" ht="82.8">
      <c r="A12" s="4" t="s">
        <v>48</v>
      </c>
      <c r="B12" s="4" t="s">
        <v>49</v>
      </c>
      <c r="C12" s="18" t="str">
        <f>IF(Expert_A!F10="","",Expert_A!F10)</f>
        <v xml:space="preserve">Concrete block </v>
      </c>
      <c r="D12" s="18" t="str">
        <f>IF(Expert_A!G10="","",Expert_A!G10)</f>
        <v>Gypsum stone (CaSO4-dihydrate), production mix, at plant, underground and open pit mining, grinded and purified product | DE | 5adbdfe6</v>
      </c>
      <c r="E12" s="18" t="str">
        <f>IF(Expert_A!I10="","",Expert_A!I10)</f>
        <v>Proxy</v>
      </c>
      <c r="F12" s="18" t="str">
        <f>IF(Expert_B!F10="","",Expert_B!F10)</f>
        <v>Block</v>
      </c>
      <c r="G12" s="18" t="str">
        <f>IF(Expert_B!G10="","",Expert_B!G10)</f>
        <v>Lightweight concrete block, production mix, at plant, expanded clay as base material | RER | 898618b6</v>
      </c>
      <c r="H12" s="18" t="str">
        <f>IF(Expert_B!I10="","",Expert_B!I10)</f>
        <v>Proxy</v>
      </c>
      <c r="I12" s="18" t="str">
        <f t="shared" si="0"/>
        <v>PARTIAL</v>
      </c>
      <c r="J12" s="9" t="s">
        <v>149</v>
      </c>
      <c r="K12" s="9" t="s">
        <v>150</v>
      </c>
      <c r="L12" s="11" t="str">
        <f>IF(OR(K12="",LOWER(TRIM(K12))="not available",LOWER(TRIM(K12))="n/a"),"",IFERROR(VLOOKUP(K12,ELCD_Catalog!$A$2:$B$609,2,FALSE),""))</f>
        <v>898618b6-3306-11dd-bd11-0800200c9a66</v>
      </c>
      <c r="M12" s="9" t="str">
        <f>IF(OR(K12="",LOWER(TRIM(K12))="not available",LOWER(TRIM(K12))="n/a"),"Review Required",IF(AND(E12="Direct",H12="Direct"),"Direct","Proxy"))</f>
        <v>Proxy</v>
      </c>
      <c r="N12" s="20"/>
      <c r="O12" s="20"/>
      <c r="P12" s="20"/>
      <c r="Q12" s="20"/>
      <c r="R12" s="20"/>
    </row>
    <row r="13" spans="1:18" ht="55.2">
      <c r="A13" s="4" t="s">
        <v>53</v>
      </c>
      <c r="B13" s="4" t="s">
        <v>54</v>
      </c>
      <c r="C13" s="18" t="str">
        <f>IF(Expert_A!F11="","",Expert_A!F11)</f>
        <v>Rebar</v>
      </c>
      <c r="D13" s="18" t="str">
        <f>IF(Expert_A!G11="","",Expert_A!G11)</f>
        <v>Steel rebar, production mix, at plant, blast furnace and electric arc furnace route, | GLO | 268a11fb</v>
      </c>
      <c r="E13" s="18" t="str">
        <f>IF(Expert_A!I11="","",Expert_A!I11)</f>
        <v>Direct</v>
      </c>
      <c r="F13" s="18" t="str">
        <f>IF(Expert_B!F11="","",Expert_B!F11)</f>
        <v>Rebar</v>
      </c>
      <c r="G13" s="18" t="str">
        <f>IF(Expert_B!G11="","",Expert_B!G11)</f>
        <v>Steel rebar, production mix, at plant, blast furnace and electric arc furnace route, | GLO | 268a11fb</v>
      </c>
      <c r="H13" s="18" t="str">
        <f>IF(Expert_B!I11="","",Expert_B!I11)</f>
        <v>Direct</v>
      </c>
      <c r="I13" s="18" t="str">
        <f t="shared" si="0"/>
        <v>AGREE</v>
      </c>
      <c r="J13" s="9" t="str">
        <f t="shared" si="1"/>
        <v>Rebar</v>
      </c>
      <c r="K13" s="9" t="str">
        <f t="shared" si="2"/>
        <v>Steel rebar, production mix, at plant, blast furnace and electric arc furnace route, | GLO | 268a11fb</v>
      </c>
      <c r="L13" s="11" t="str">
        <f>IF(OR(K13="",LOWER(TRIM(K13))="not available",LOWER(TRIM(K13))="n/a"),"",IFERROR(VLOOKUP(K13,ELCD_Catalog!$A$2:$B$609,2,FALSE),""))</f>
        <v>268a11fb-baf2-4b9e-8867-38bea0e76ef6</v>
      </c>
      <c r="M13" s="9" t="str">
        <f t="shared" si="3"/>
        <v>Direct</v>
      </c>
      <c r="N13" s="20"/>
      <c r="O13" s="20"/>
      <c r="P13" s="20"/>
      <c r="Q13" s="20"/>
      <c r="R13" s="20"/>
    </row>
    <row r="14" spans="1:18" ht="55.2">
      <c r="A14" s="4" t="s">
        <v>56</v>
      </c>
      <c r="B14" s="4" t="s">
        <v>57</v>
      </c>
      <c r="C14" s="18" t="str">
        <f>IF(Expert_A!F12="","",Expert_A!F12)</f>
        <v xml:space="preserve">Wire </v>
      </c>
      <c r="D14" s="18" t="str">
        <f>IF(Expert_A!G12="","",Expert_A!G12)</f>
        <v>Copper wire, consumption mix, at plant, technology mix, cross section 1 mmy | EU-15 | 11bceac4</v>
      </c>
      <c r="E14" s="18" t="str">
        <f>IF(Expert_A!I12="","",Expert_A!I12)</f>
        <v>Proxy</v>
      </c>
      <c r="F14" s="18" t="str">
        <f>IF(Expert_B!F12="","",Expert_B!F12)</f>
        <v>Wire</v>
      </c>
      <c r="G14" s="18" t="str">
        <f>IF(Expert_B!G12="","",Expert_B!G12)</f>
        <v>Copper wire, consumption mix, at plant, technology mix, cross section 1 mmy | EU-15 | 11bceac4</v>
      </c>
      <c r="H14" s="18" t="str">
        <f>IF(Expert_B!I12="","",Expert_B!I12)</f>
        <v>Proxy</v>
      </c>
      <c r="I14" s="18" t="str">
        <f t="shared" si="0"/>
        <v>AGREE</v>
      </c>
      <c r="J14" s="9" t="str">
        <f t="shared" si="1"/>
        <v>Wire</v>
      </c>
      <c r="K14" s="9" t="str">
        <f t="shared" si="2"/>
        <v>Copper wire, consumption mix, at plant, technology mix, cross section 1 mmy | EU-15 | 11bceac4</v>
      </c>
      <c r="L14" s="11" t="str">
        <f>IF(OR(K14="",LOWER(TRIM(K14))="not available",LOWER(TRIM(K14))="n/a"),"",IFERROR(VLOOKUP(K14,ELCD_Catalog!$A$2:$B$609,2,FALSE),""))</f>
        <v>11bceac4-b3d8-4048-8e80-b691ecd2c261</v>
      </c>
      <c r="M14" s="9" t="str">
        <f>IF(OR(K14="",LOWER(TRIM(K14))="not available",LOWER(TRIM(K14))="n/a"),"Review Required",IF(AND(E14="Direct",H14="Direct"),"Direct","Proxy"))</f>
        <v>Proxy</v>
      </c>
      <c r="N14" s="20"/>
      <c r="O14" s="20"/>
      <c r="P14" s="20"/>
      <c r="Q14" s="20"/>
      <c r="R14" s="20"/>
    </row>
    <row r="15" spans="1:18" ht="69">
      <c r="A15" s="4" t="s">
        <v>60</v>
      </c>
      <c r="B15" s="4" t="s">
        <v>61</v>
      </c>
      <c r="C15" s="18" t="str">
        <f>IF(Expert_A!F13="","",Expert_A!F13)</f>
        <v xml:space="preserve">Steel Rolls </v>
      </c>
      <c r="D15" s="18" t="str">
        <f>IF(Expert_A!G13="","",Expert_A!G13)</f>
        <v>Steel hot rolled section, production mix, at plant, blast furnace and electric arc furnace route, | GLO | f9d4581e</v>
      </c>
      <c r="E15" s="18" t="str">
        <f>IF(Expert_A!I13="","",Expert_A!I13)</f>
        <v>Proxy</v>
      </c>
      <c r="F15" s="18" t="str">
        <f>IF(Expert_B!F13="","",Expert_B!F13)</f>
        <v>CGI Sheets</v>
      </c>
      <c r="G15" s="18" t="str">
        <f>IF(Expert_B!G13="","",Expert_B!G13)</f>
        <v>corrugated board sheets, production mix, at plant, technology mix, 18% primary fibre, 82 % recycled fibre | EU-27 | 7311da1a</v>
      </c>
      <c r="H15" s="18" t="str">
        <f>IF(Expert_B!I13="","",Expert_B!I13)</f>
        <v>Proxy</v>
      </c>
      <c r="I15" s="18" t="str">
        <f t="shared" si="0"/>
        <v>PARTIAL</v>
      </c>
      <c r="J15" s="9" t="s">
        <v>119</v>
      </c>
      <c r="K15" s="9" t="s">
        <v>151</v>
      </c>
      <c r="L15" s="11" t="str">
        <f>IF(OR(K15="",LOWER(TRIM(K15))="not available",LOWER(TRIM(K15))="n/a"),"",IFERROR(VLOOKUP(K15,ELCD_Catalog!$A$2:$B$609,2,FALSE),""))</f>
        <v>7311da1a-673f-96b5-66ef-00004409928e</v>
      </c>
      <c r="M15" s="9" t="str">
        <f>IF(OR(K15="",LOWER(TRIM(K15))="not available",LOWER(TRIM(K15))="n/a"),"Review Required",IF(AND(E15="Direct",H15="Direct"),"Direct","Proxy"))</f>
        <v>Proxy</v>
      </c>
      <c r="N15" s="20"/>
      <c r="O15" s="20"/>
      <c r="P15" s="20"/>
      <c r="Q15" s="20"/>
      <c r="R15" s="20"/>
    </row>
    <row r="16" spans="1:18" ht="55.2">
      <c r="A16" s="4" t="s">
        <v>64</v>
      </c>
      <c r="B16" s="4" t="s">
        <v>65</v>
      </c>
      <c r="C16" s="18" t="str">
        <f>IF(Expert_A!F14="","",Expert_A!F14)</f>
        <v>Timber</v>
      </c>
      <c r="D16" s="18" t="str">
        <f>IF(Expert_A!G14="","",Expert_A!G14)</f>
        <v>Spruce wood, production mix, at saw mill, timber, 40% water content | DE | 2b61a4d6</v>
      </c>
      <c r="E16" s="18" t="str">
        <f>IF(Expert_A!I14="","",Expert_A!I14)</f>
        <v>Proxy</v>
      </c>
      <c r="F16" s="18" t="str">
        <f>IF(Expert_B!F14="","",Expert_B!F14)</f>
        <v>Timber</v>
      </c>
      <c r="G16" s="18" t="str">
        <f>IF(Expert_B!G14="","",Expert_B!G14)</f>
        <v>Pine wood, production mix, at saw mill, timber, 40% water content | DE | 621e64d0</v>
      </c>
      <c r="H16" s="18" t="str">
        <f>IF(Expert_B!I14="","",Expert_B!I14)</f>
        <v>Proxy</v>
      </c>
      <c r="I16" s="18" t="str">
        <f t="shared" si="0"/>
        <v>PARTIAL</v>
      </c>
      <c r="J16" s="9" t="str">
        <f t="shared" si="1"/>
        <v>Timber</v>
      </c>
      <c r="K16" s="9" t="s">
        <v>152</v>
      </c>
      <c r="L16" s="11" t="str">
        <f>IF(OR(K16="",LOWER(TRIM(K16))="not available",LOWER(TRIM(K16))="n/a"),"",IFERROR(VLOOKUP(K16,ELCD_Catalog!$A$2:$B$609,2,FALSE),""))</f>
        <v>2b61a4d6-bd1d-4ea3-828c-fdbdf5fca1f9</v>
      </c>
      <c r="M16" s="9" t="str">
        <f t="shared" si="3"/>
        <v>Proxy</v>
      </c>
      <c r="N16" s="20"/>
      <c r="O16" s="20"/>
      <c r="P16" s="20"/>
      <c r="Q16" s="20"/>
      <c r="R16" s="20"/>
    </row>
    <row r="17" spans="1:18" ht="55.2">
      <c r="A17" s="4" t="s">
        <v>68</v>
      </c>
      <c r="B17" s="4" t="s">
        <v>69</v>
      </c>
      <c r="C17" s="18" t="str">
        <f>IF(Expert_A!F15="","",Expert_A!F15)</f>
        <v xml:space="preserve">Plaster </v>
      </c>
      <c r="D17" s="18" t="str">
        <f>IF(Expert_A!G15="","",Expert_A!G15)</f>
        <v>Not available</v>
      </c>
      <c r="E17" s="18" t="str">
        <f>IF(Expert_A!I15="","",Expert_A!I15)</f>
        <v>Review Required</v>
      </c>
      <c r="F17" s="18" t="str">
        <f>IF(Expert_B!F15="","",Expert_B!F15)</f>
        <v>Plaster</v>
      </c>
      <c r="G17" s="18" t="str">
        <f>IF(Expert_B!G15="","",Expert_B!G15)</f>
        <v>Not available</v>
      </c>
      <c r="H17" s="18" t="str">
        <f>IF(Expert_B!I15="","",Expert_B!I15)</f>
        <v>Review Required</v>
      </c>
      <c r="I17" s="18" t="str">
        <f t="shared" si="0"/>
        <v>AGREE</v>
      </c>
      <c r="J17" s="9" t="str">
        <f t="shared" si="1"/>
        <v>Plaster</v>
      </c>
      <c r="K17" s="9" t="s">
        <v>153</v>
      </c>
      <c r="L17" s="11" t="str">
        <f>IF(OR(K17="",LOWER(TRIM(K17))="not available",LOWER(TRIM(K17))="n/a"),"",IFERROR(VLOOKUP(K17,ELCD_Catalog!$A$2:$B$609,2,FALSE),""))</f>
        <v/>
      </c>
      <c r="M17" s="9" t="str">
        <f t="shared" si="3"/>
        <v>Review Required</v>
      </c>
      <c r="N17" s="20"/>
      <c r="O17" s="20"/>
      <c r="P17" s="20"/>
      <c r="Q17" s="20"/>
      <c r="R17" s="20"/>
    </row>
    <row r="18" spans="1:18" ht="55.2">
      <c r="A18" s="4" t="s">
        <v>72</v>
      </c>
      <c r="B18" s="4" t="s">
        <v>73</v>
      </c>
      <c r="C18" s="18" t="str">
        <f>IF(Expert_A!F16="","",Expert_A!F16)</f>
        <v xml:space="preserve">Plaster </v>
      </c>
      <c r="D18" s="18" t="str">
        <f>IF(Expert_A!G16="","",Expert_A!G16)</f>
        <v>Not available</v>
      </c>
      <c r="E18" s="18" t="str">
        <f>IF(Expert_A!I16="","",Expert_A!I16)</f>
        <v>Review Required</v>
      </c>
      <c r="F18" s="18" t="str">
        <f>IF(Expert_B!F16="","",Expert_B!F16)</f>
        <v>Plaster</v>
      </c>
      <c r="G18" s="18" t="str">
        <f>IF(Expert_B!G16="","",Expert_B!G16)</f>
        <v>Not available</v>
      </c>
      <c r="H18" s="18" t="str">
        <f>IF(Expert_B!I16="","",Expert_B!I16)</f>
        <v>Review Required</v>
      </c>
      <c r="I18" s="18" t="str">
        <f t="shared" si="0"/>
        <v>AGREE</v>
      </c>
      <c r="J18" s="9" t="str">
        <f t="shared" si="1"/>
        <v>Plaster</v>
      </c>
      <c r="K18" s="9" t="s">
        <v>153</v>
      </c>
      <c r="L18" s="11" t="str">
        <f>IF(OR(K18="",LOWER(TRIM(K18))="not available",LOWER(TRIM(K18))="n/a"),"",IFERROR(VLOOKUP(K18,ELCD_Catalog!$A$2:$B$609,2,FALSE),""))</f>
        <v/>
      </c>
      <c r="M18" s="9" t="str">
        <f t="shared" si="3"/>
        <v>Review Required</v>
      </c>
      <c r="N18" s="20"/>
      <c r="O18" s="20"/>
      <c r="P18" s="20"/>
      <c r="Q18" s="20"/>
      <c r="R18" s="20"/>
    </row>
    <row r="19" spans="1:18" ht="69">
      <c r="A19" s="4" t="s">
        <v>74</v>
      </c>
      <c r="B19" s="4" t="s">
        <v>32</v>
      </c>
      <c r="C19" s="18" t="str">
        <f>IF(Expert_A!F17="","",Expert_A!F17)</f>
        <v>Cement</v>
      </c>
      <c r="D19" s="18" t="str">
        <f>IF(Expert_A!G17="","",Expert_A!G17)</f>
        <v>Portland cement (CEM I), CEMBUREAU production mix, at plant, CEMBUREAU technology mix, EN 197-1 | RER | 600573dd</v>
      </c>
      <c r="E19" s="18" t="str">
        <f>IF(Expert_A!I17="","",Expert_A!I17)</f>
        <v>Direct</v>
      </c>
      <c r="F19" s="18" t="str">
        <f>IF(Expert_B!F17="","",Expert_B!F17)</f>
        <v>Cement</v>
      </c>
      <c r="G19" s="18" t="str">
        <f>IF(Expert_B!G17="","",Expert_B!G17)</f>
        <v>Portland cement (CEM I), CEMBUREAU production mix, at plant, CEMBUREAU technology mix, EN 197-1 | RER | 600573dd</v>
      </c>
      <c r="H19" s="18" t="str">
        <f>IF(Expert_B!I17="","",Expert_B!I17)</f>
        <v>Direct</v>
      </c>
      <c r="I19" s="18" t="str">
        <f t="shared" si="0"/>
        <v>AGREE</v>
      </c>
      <c r="J19" s="9" t="str">
        <f t="shared" si="1"/>
        <v>Cement</v>
      </c>
      <c r="K19" s="9" t="str">
        <f t="shared" si="2"/>
        <v>Portland cement (CEM I), CEMBUREAU production mix, at plant, CEMBUREAU technology mix, EN 197-1 | RER | 600573dd</v>
      </c>
      <c r="L19" s="11" t="str">
        <f>IF(OR(K19="",LOWER(TRIM(K19))="not available",LOWER(TRIM(K19))="n/a"),"",IFERROR(VLOOKUP(K19,ELCD_Catalog!$A$2:$B$609,2,FALSE),""))</f>
        <v>600573dd-dfa5-44e5-b458-8727e793ffd7</v>
      </c>
      <c r="M19" s="9" t="str">
        <f t="shared" si="3"/>
        <v>Direct</v>
      </c>
      <c r="N19" s="20"/>
      <c r="O19" s="20"/>
      <c r="P19" s="20"/>
      <c r="Q19" s="20"/>
      <c r="R19" s="20"/>
    </row>
    <row r="20" spans="1:18" ht="41.4">
      <c r="A20" s="4" t="s">
        <v>76</v>
      </c>
      <c r="B20" s="4" t="s">
        <v>36</v>
      </c>
      <c r="C20" s="18" t="str">
        <f>IF(Expert_A!F18="","",Expert_A!F18)</f>
        <v>Sand</v>
      </c>
      <c r="D20" s="18" t="str">
        <f>IF(Expert_A!G18="","",Expert_A!G18)</f>
        <v>Sand 0/2, production mix, at plant, wet and dry quarry, undried | RER | 898618b1</v>
      </c>
      <c r="E20" s="18" t="str">
        <f>IF(Expert_A!I18="","",Expert_A!I18)</f>
        <v>Direct</v>
      </c>
      <c r="F20" s="18" t="str">
        <f>IF(Expert_B!F18="","",Expert_B!F18)</f>
        <v>Sand</v>
      </c>
      <c r="G20" s="18" t="str">
        <f>IF(Expert_B!G18="","",Expert_B!G18)</f>
        <v>Sand 0/2, production mix, at plant, wet and dry quarry, undried | RER | 898618b1</v>
      </c>
      <c r="H20" s="18" t="str">
        <f>IF(Expert_B!I18="","",Expert_B!I18)</f>
        <v>Direct</v>
      </c>
      <c r="I20" s="18" t="str">
        <f t="shared" si="0"/>
        <v>AGREE</v>
      </c>
      <c r="J20" s="9" t="str">
        <f t="shared" si="1"/>
        <v>Sand</v>
      </c>
      <c r="K20" s="9" t="str">
        <f t="shared" si="2"/>
        <v>Sand 0/2, production mix, at plant, wet and dry quarry, undried | RER | 898618b1</v>
      </c>
      <c r="L20" s="11" t="str">
        <f>IF(OR(K20="",LOWER(TRIM(K20))="not available",LOWER(TRIM(K20))="n/a"),"",IFERROR(VLOOKUP(K20,ELCD_Catalog!$A$2:$B$609,2,FALSE),""))</f>
        <v>898618b1-3306-11dd-bd11-0800200c9a66</v>
      </c>
      <c r="M20" s="9" t="str">
        <f t="shared" si="3"/>
        <v>Direct</v>
      </c>
      <c r="N20" s="20"/>
      <c r="O20" s="20"/>
      <c r="P20" s="20"/>
      <c r="Q20" s="20"/>
      <c r="R20" s="20"/>
    </row>
    <row r="21" spans="1:18" ht="41.4">
      <c r="A21" s="4" t="s">
        <v>77</v>
      </c>
      <c r="B21" s="4" t="s">
        <v>38</v>
      </c>
      <c r="C21" s="18" t="str">
        <f>IF(Expert_A!F19="","",Expert_A!F19)</f>
        <v>Gravel</v>
      </c>
      <c r="D21" s="18" t="str">
        <f>IF(Expert_A!G19="","",Expert_A!G19)</f>
        <v>Gravel 2/32, production mix, at plant, wet and dry quarry, undried | RER | 898618b2</v>
      </c>
      <c r="E21" s="18" t="str">
        <f>IF(Expert_A!I19="","",Expert_A!I19)</f>
        <v>Direct</v>
      </c>
      <c r="F21" s="18" t="str">
        <f>IF(Expert_B!F19="","",Expert_B!F19)</f>
        <v>Gravel</v>
      </c>
      <c r="G21" s="18" t="str">
        <f>IF(Expert_B!G19="","",Expert_B!G19)</f>
        <v>Gravel 2/32, production mix, at plant, wet and dry quarry, undried | RER | 898618b2</v>
      </c>
      <c r="H21" s="18" t="str">
        <f>IF(Expert_B!I19="","",Expert_B!I19)</f>
        <v>Direct</v>
      </c>
      <c r="I21" s="18" t="str">
        <f t="shared" si="0"/>
        <v>AGREE</v>
      </c>
      <c r="J21" s="9" t="str">
        <f t="shared" si="1"/>
        <v>Gravel</v>
      </c>
      <c r="K21" s="9" t="str">
        <f t="shared" si="2"/>
        <v>Gravel 2/32, production mix, at plant, wet and dry quarry, undried | RER | 898618b2</v>
      </c>
      <c r="L21" s="11" t="str">
        <f>IF(OR(K21="",LOWER(TRIM(K21))="not available",LOWER(TRIM(K21))="n/a"),"",IFERROR(VLOOKUP(K21,ELCD_Catalog!$A$2:$B$609,2,FALSE),""))</f>
        <v>898618b2-3306-11dd-bd11-0800200c9a66</v>
      </c>
      <c r="M21" s="9" t="str">
        <f t="shared" si="3"/>
        <v>Direct</v>
      </c>
      <c r="N21" s="20"/>
      <c r="O21" s="20"/>
      <c r="P21" s="20"/>
      <c r="Q21" s="20"/>
      <c r="R21" s="20"/>
    </row>
    <row r="22" spans="1:18" ht="55.2">
      <c r="A22" s="4" t="s">
        <v>78</v>
      </c>
      <c r="B22" s="4" t="s">
        <v>42</v>
      </c>
      <c r="C22" s="18" t="str">
        <f>IF(Expert_A!F20="","",Expert_A!F20)</f>
        <v xml:space="preserve">Stone </v>
      </c>
      <c r="D22" s="18" t="str">
        <f>IF(Expert_A!G20="","",Expert_A!G20)</f>
        <v>Crushed stone 16/32, production mix, at plant, open pit mining, undried | RER | 898618b3</v>
      </c>
      <c r="E22" s="18" t="str">
        <f>IF(Expert_A!I20="","",Expert_A!I20)</f>
        <v>Proxy</v>
      </c>
      <c r="F22" s="18" t="str">
        <f>IF(Expert_B!F20="","",Expert_B!F20)</f>
        <v>Stone</v>
      </c>
      <c r="G22" s="18" t="str">
        <f>IF(Expert_B!G20="","",Expert_B!G20)</f>
        <v>Crushed stone 16/32, production mix, at plant, open pit mining, undried | RER | 898618b3</v>
      </c>
      <c r="H22" s="18" t="str">
        <f>IF(Expert_B!I20="","",Expert_B!I20)</f>
        <v>Direct</v>
      </c>
      <c r="I22" s="18" t="str">
        <f t="shared" si="0"/>
        <v>PARTIAL</v>
      </c>
      <c r="J22" s="9" t="str">
        <f t="shared" si="1"/>
        <v>Stone</v>
      </c>
      <c r="K22" s="9" t="str">
        <f t="shared" si="2"/>
        <v>Crushed stone 16/32, production mix, at plant, open pit mining, undried | RER | 898618b3</v>
      </c>
      <c r="L22" s="11" t="str">
        <f>IF(OR(K22="",LOWER(TRIM(K22))="not available",LOWER(TRIM(K22))="n/a"),"",IFERROR(VLOOKUP(K22,ELCD_Catalog!$A$2:$B$609,2,FALSE),""))</f>
        <v>898618b3-3306-11dd-bd11-0800200c9a66</v>
      </c>
      <c r="M22" s="9" t="str">
        <f>IF(OR(K22="",LOWER(TRIM(K22))="not available",LOWER(TRIM(K22))="n/a"),"Review Required",IF(AND(E22="Direct",H22="Direct"),"Direct","Proxy"))</f>
        <v>Proxy</v>
      </c>
      <c r="N22" s="20"/>
      <c r="O22" s="20"/>
      <c r="P22" s="20"/>
      <c r="Q22" s="20"/>
      <c r="R22" s="20"/>
    </row>
    <row r="23" spans="1:18" ht="27.6">
      <c r="A23" s="4" t="s">
        <v>80</v>
      </c>
      <c r="B23" s="4" t="s">
        <v>81</v>
      </c>
      <c r="C23" s="18" t="str">
        <f>IF(Expert_A!F21="","",Expert_A!F21)</f>
        <v>Soil</v>
      </c>
      <c r="D23" s="18" t="str">
        <f>IF(Expert_A!G21="","",Expert_A!G21)</f>
        <v>Not available</v>
      </c>
      <c r="E23" s="18" t="str">
        <f>IF(Expert_A!I21="","",Expert_A!I21)</f>
        <v>Review Required</v>
      </c>
      <c r="F23" s="18" t="str">
        <f>IF(Expert_B!F21="","",Expert_B!F21)</f>
        <v>Soil</v>
      </c>
      <c r="G23" s="18" t="str">
        <f>IF(Expert_B!G21="","",Expert_B!G21)</f>
        <v>Not available</v>
      </c>
      <c r="H23" s="18" t="str">
        <f>IF(Expert_B!I21="","",Expert_B!I21)</f>
        <v>Review Required</v>
      </c>
      <c r="I23" s="18" t="str">
        <f t="shared" si="0"/>
        <v>AGREE</v>
      </c>
      <c r="J23" s="9" t="str">
        <f t="shared" si="1"/>
        <v>Soil</v>
      </c>
      <c r="K23" s="9" t="s">
        <v>153</v>
      </c>
      <c r="L23" s="11" t="str">
        <f>IF(OR(K23="",LOWER(TRIM(K23))="not available",LOWER(TRIM(K23))="n/a"),"",IFERROR(VLOOKUP(K23,ELCD_Catalog!$A$2:$B$609,2,FALSE),""))</f>
        <v/>
      </c>
      <c r="M23" s="9" t="str">
        <f t="shared" si="3"/>
        <v>Review Required</v>
      </c>
      <c r="N23" s="20"/>
      <c r="O23" s="20"/>
      <c r="P23" s="20"/>
      <c r="Q23" s="20"/>
      <c r="R23" s="20"/>
    </row>
    <row r="24" spans="1:18" ht="55.2">
      <c r="A24" s="4" t="s">
        <v>83</v>
      </c>
      <c r="B24" s="4" t="s">
        <v>84</v>
      </c>
      <c r="C24" s="18" t="str">
        <f>IF(Expert_A!F22="","",Expert_A!F22)</f>
        <v xml:space="preserve">Wood </v>
      </c>
      <c r="D24" s="18" t="str">
        <f>IF(Expert_A!G22="","",Expert_A!G22)</f>
        <v>Pine wood, production mix, at saw mill, timber, 40% water content | DE | 621e64d0</v>
      </c>
      <c r="E24" s="18" t="str">
        <f>IF(Expert_A!I22="","",Expert_A!I22)</f>
        <v>Proxy</v>
      </c>
      <c r="F24" s="18" t="str">
        <f>IF(Expert_B!F22="","",Expert_B!F22)</f>
        <v>Wood</v>
      </c>
      <c r="G24" s="18" t="str">
        <f>IF(Expert_B!G22="","",Expert_B!G22)</f>
        <v>Spruce wood, production mix, at saw mill, timber, 40% water content | DE | 2b61a4d6</v>
      </c>
      <c r="H24" s="18" t="str">
        <f>IF(Expert_B!I22="","",Expert_B!I22)</f>
        <v>Proxy</v>
      </c>
      <c r="I24" s="18" t="str">
        <f t="shared" si="0"/>
        <v>PARTIAL</v>
      </c>
      <c r="J24" s="9" t="str">
        <f t="shared" si="1"/>
        <v>Wood</v>
      </c>
      <c r="K24" s="9" t="s">
        <v>152</v>
      </c>
      <c r="L24" s="11" t="str">
        <f>IF(OR(K24="",LOWER(TRIM(K24))="not available",LOWER(TRIM(K24))="n/a"),"",IFERROR(VLOOKUP(K24,ELCD_Catalog!$A$2:$B$609,2,FALSE),""))</f>
        <v>2b61a4d6-bd1d-4ea3-828c-fdbdf5fca1f9</v>
      </c>
      <c r="M24" s="9" t="str">
        <f t="shared" si="3"/>
        <v>Proxy</v>
      </c>
      <c r="N24" s="20"/>
      <c r="O24" s="20"/>
      <c r="P24" s="20"/>
      <c r="Q24" s="20"/>
      <c r="R24" s="20"/>
    </row>
    <row r="25" spans="1:18" ht="55.2">
      <c r="A25" s="4" t="s">
        <v>86</v>
      </c>
      <c r="B25" s="4" t="s">
        <v>87</v>
      </c>
      <c r="C25" s="18" t="str">
        <f>IF(Expert_A!F23="","",Expert_A!F23)</f>
        <v>Plywood</v>
      </c>
      <c r="D25" s="18" t="str">
        <f>IF(Expert_A!G23="","",Expert_A!G23)</f>
        <v>Pine wood, production mix, at saw mill, timber, 40% water content | DE | 621e64d0</v>
      </c>
      <c r="E25" s="18" t="str">
        <f>IF(Expert_A!I23="","",Expert_A!I23)</f>
        <v>Proxy</v>
      </c>
      <c r="F25" s="18" t="str">
        <f>IF(Expert_B!F23="","",Expert_B!F23)</f>
        <v>Plywood</v>
      </c>
      <c r="G25" s="18" t="str">
        <f>IF(Expert_B!G23="","",Expert_B!G23)</f>
        <v>Waste incineration of wood products (OSB, particle board), at plant, average European waste-to-energy plant, without collection, transport and pre-treatment | EU-27 | 39f61d7a</v>
      </c>
      <c r="H25" s="18" t="str">
        <f>IF(Expert_B!I23="","",Expert_B!I23)</f>
        <v>Proxy</v>
      </c>
      <c r="I25" s="18" t="str">
        <f t="shared" si="0"/>
        <v>PARTIAL</v>
      </c>
      <c r="J25" s="9" t="str">
        <f t="shared" si="1"/>
        <v>Plywood</v>
      </c>
      <c r="K25" s="9" t="s">
        <v>154</v>
      </c>
      <c r="L25" s="11" t="str">
        <f>IF(OR(K25="",LOWER(TRIM(K25))="not available",LOWER(TRIM(K25))="n/a"),"",IFERROR(VLOOKUP(K25,ELCD_Catalog!$A$2:$B$609,2,FALSE),""))</f>
        <v>621e64d0-f471-4023-9ebc-a52cd8ee573f</v>
      </c>
      <c r="M25" s="9" t="str">
        <f>IF(OR(K25="",LOWER(TRIM(K25))="not available",LOWER(TRIM(K25))="n/a"),"Review Required",IF(AND(E25="Direct",H25="Direct"),"Direct","Proxy"))</f>
        <v>Proxy</v>
      </c>
      <c r="N25" s="20"/>
      <c r="O25" s="20"/>
      <c r="P25" s="20"/>
      <c r="Q25" s="20"/>
      <c r="R25" s="20"/>
    </row>
    <row r="26" spans="1:18" ht="27.6">
      <c r="A26" s="4" t="s">
        <v>90</v>
      </c>
      <c r="B26" s="4" t="s">
        <v>91</v>
      </c>
      <c r="C26" s="18" t="str">
        <f>IF(Expert_A!F24="","",Expert_A!F24)</f>
        <v>Steel nail</v>
      </c>
      <c r="D26" s="18" t="str">
        <f>IF(Expert_A!G24="","",Expert_A!G24)</f>
        <v>Not available</v>
      </c>
      <c r="E26" s="18" t="str">
        <f>IF(Expert_A!I24="","",Expert_A!I24)</f>
        <v>Review Required</v>
      </c>
      <c r="F26" s="18" t="str">
        <f>IF(Expert_B!F24="","",Expert_B!F24)</f>
        <v>Nail</v>
      </c>
      <c r="G26" s="18" t="str">
        <f>IF(Expert_B!G24="","",Expert_B!G24)</f>
        <v>Not available</v>
      </c>
      <c r="H26" s="18" t="str">
        <f>IF(Expert_B!I24="","",Expert_B!I24)</f>
        <v>Review Required</v>
      </c>
      <c r="I26" s="18" t="str">
        <f t="shared" si="0"/>
        <v>PARTIAL</v>
      </c>
      <c r="J26" s="9" t="s">
        <v>92</v>
      </c>
      <c r="K26" s="9" t="s">
        <v>153</v>
      </c>
      <c r="L26" s="11" t="str">
        <f>IF(OR(K26="",LOWER(TRIM(K26))="not available",LOWER(TRIM(K26))="n/a"),"",IFERROR(VLOOKUP(K26,ELCD_Catalog!$A$2:$B$609,2,FALSE),""))</f>
        <v/>
      </c>
      <c r="M26" s="9" t="str">
        <f t="shared" si="3"/>
        <v>Review Required</v>
      </c>
      <c r="N26" s="20"/>
      <c r="O26" s="20"/>
      <c r="P26" s="20"/>
      <c r="Q26" s="20"/>
      <c r="R26" s="20"/>
    </row>
    <row r="27" spans="1:18" ht="55.2">
      <c r="A27" s="4" t="s">
        <v>94</v>
      </c>
      <c r="B27" s="4" t="s">
        <v>95</v>
      </c>
      <c r="C27" s="18" t="str">
        <f>IF(Expert_A!F25="","",Expert_A!F25)</f>
        <v>Rebar</v>
      </c>
      <c r="D27" s="18" t="str">
        <f>IF(Expert_A!G25="","",Expert_A!G25)</f>
        <v>Steel rebar, production mix, at plant, blast furnace and electric arc furnace route, | GLO | 268a11fb</v>
      </c>
      <c r="E27" s="18" t="str">
        <f>IF(Expert_A!I25="","",Expert_A!I25)</f>
        <v>Direct</v>
      </c>
      <c r="F27" s="18" t="str">
        <f>IF(Expert_B!F25="","",Expert_B!F25)</f>
        <v>Rebar</v>
      </c>
      <c r="G27" s="18" t="str">
        <f>IF(Expert_B!G25="","",Expert_B!G25)</f>
        <v>Steel rebar, production mix, at plant, blast furnace and electric arc furnace route, | GLO | 268a11fb</v>
      </c>
      <c r="H27" s="18" t="str">
        <f>IF(Expert_B!I25="","",Expert_B!I25)</f>
        <v>Direct</v>
      </c>
      <c r="I27" s="18" t="str">
        <f t="shared" si="0"/>
        <v>AGREE</v>
      </c>
      <c r="J27" s="9" t="str">
        <f t="shared" si="1"/>
        <v>Rebar</v>
      </c>
      <c r="K27" s="9" t="str">
        <f t="shared" si="2"/>
        <v>Steel rebar, production mix, at plant, blast furnace and electric arc furnace route, | GLO | 268a11fb</v>
      </c>
      <c r="L27" s="11" t="str">
        <f>IF(OR(K27="",LOWER(TRIM(K27))="not available",LOWER(TRIM(K27))="n/a"),"",IFERROR(VLOOKUP(K27,ELCD_Catalog!$A$2:$B$609,2,FALSE),""))</f>
        <v>268a11fb-baf2-4b9e-8867-38bea0e76ef6</v>
      </c>
      <c r="M27" s="9" t="str">
        <f t="shared" si="3"/>
        <v>Direct</v>
      </c>
      <c r="N27" s="20"/>
      <c r="O27" s="20"/>
      <c r="P27" s="20"/>
      <c r="Q27" s="20"/>
      <c r="R27" s="20"/>
    </row>
    <row r="28" spans="1:18" ht="55.2">
      <c r="A28" s="4" t="s">
        <v>96</v>
      </c>
      <c r="B28" s="4" t="s">
        <v>97</v>
      </c>
      <c r="C28" s="18" t="str">
        <f>IF(Expert_A!F26="","",Expert_A!F26)</f>
        <v>Rebar</v>
      </c>
      <c r="D28" s="18" t="str">
        <f>IF(Expert_A!G26="","",Expert_A!G26)</f>
        <v>Steel rebar, production mix, at plant, blast furnace and electric arc furnace route, | GLO | 268a11fb</v>
      </c>
      <c r="E28" s="18" t="str">
        <f>IF(Expert_A!I26="","",Expert_A!I26)</f>
        <v>Direct</v>
      </c>
      <c r="F28" s="18" t="str">
        <f>IF(Expert_B!F26="","",Expert_B!F26)</f>
        <v>Rebar</v>
      </c>
      <c r="G28" s="18" t="str">
        <f>IF(Expert_B!G26="","",Expert_B!G26)</f>
        <v>Steel rebar, production mix, at plant, blast furnace and electric arc furnace route, | GLO | 268a11fb</v>
      </c>
      <c r="H28" s="18" t="str">
        <f>IF(Expert_B!I26="","",Expert_B!I26)</f>
        <v>Direct</v>
      </c>
      <c r="I28" s="18" t="str">
        <f t="shared" si="0"/>
        <v>AGREE</v>
      </c>
      <c r="J28" s="9" t="str">
        <f t="shared" si="1"/>
        <v>Rebar</v>
      </c>
      <c r="K28" s="9" t="str">
        <f t="shared" si="2"/>
        <v>Steel rebar, production mix, at plant, blast furnace and electric arc furnace route, | GLO | 268a11fb</v>
      </c>
      <c r="L28" s="11" t="str">
        <f>IF(OR(K28="",LOWER(TRIM(K28))="not available",LOWER(TRIM(K28))="n/a"),"",IFERROR(VLOOKUP(K28,ELCD_Catalog!$A$2:$B$609,2,FALSE),""))</f>
        <v>268a11fb-baf2-4b9e-8867-38bea0e76ef6</v>
      </c>
      <c r="M28" s="9" t="str">
        <f t="shared" si="3"/>
        <v>Direct</v>
      </c>
      <c r="N28" s="20"/>
      <c r="O28" s="20"/>
      <c r="P28" s="20"/>
      <c r="Q28" s="20"/>
      <c r="R28" s="20"/>
    </row>
    <row r="29" spans="1:18" ht="165.6">
      <c r="A29" s="4" t="s">
        <v>98</v>
      </c>
      <c r="B29" s="4" t="s">
        <v>99</v>
      </c>
      <c r="C29" s="18" t="str">
        <f>IF(Expert_A!F27="","",Expert_A!F27)</f>
        <v xml:space="preserve">Wire </v>
      </c>
      <c r="D29" s="18" t="str">
        <f>IF(Expert_A!G27="","",Expert_A!G27)</f>
        <v>Copper wire; technology mix; market mix, at plant; cross section 1 mm, Technology and Market Mix for Wire fabrication representing main European production countries, Market Mix for Copper cathode in Europe (primary and secondary Cu cathode production... | EU-25 | 819e60d3</v>
      </c>
      <c r="E29" s="18" t="str">
        <f>IF(Expert_A!I27="","",Expert_A!I27)</f>
        <v>Proxy</v>
      </c>
      <c r="F29" s="18" t="str">
        <f>IF(Expert_B!F27="","",Expert_B!F27)</f>
        <v>Wire</v>
      </c>
      <c r="G29" s="18" t="str">
        <f>IF(Expert_B!G27="","",Expert_B!G27)</f>
        <v>Copper wire, consumption mix, at plant, technology mix, cross section 1 mmy | EU-15 | 11bceac4</v>
      </c>
      <c r="H29" s="18" t="str">
        <f>IF(Expert_B!I27="","",Expert_B!I27)</f>
        <v>Direct</v>
      </c>
      <c r="I29" s="18" t="str">
        <f t="shared" si="0"/>
        <v>PARTIAL</v>
      </c>
      <c r="J29" s="9" t="str">
        <f t="shared" si="1"/>
        <v>Wire</v>
      </c>
      <c r="K29" s="9" t="s">
        <v>155</v>
      </c>
      <c r="L29" s="11" t="str">
        <f>IF(OR(K29="",LOWER(TRIM(K29))="not available",LOWER(TRIM(K29))="n/a"),"",IFERROR(VLOOKUP(K29,ELCD_Catalog!$A$2:$B$609,2,FALSE),""))</f>
        <v>11bceac4-b3d8-4048-8e80-b691ecd2c261</v>
      </c>
      <c r="M29" s="9" t="str">
        <f>IF(OR(K29="",LOWER(TRIM(K29))="not available",LOWER(TRIM(K29))="n/a"),"Review Required",IF(AND(E29="Direct",H29="Direct"),"Direct","Proxy"))</f>
        <v>Proxy</v>
      </c>
      <c r="N29" s="20"/>
      <c r="O29" s="20"/>
      <c r="P29" s="20"/>
      <c r="Q29" s="20"/>
      <c r="R29" s="20"/>
    </row>
    <row r="30" spans="1:18" ht="82.8">
      <c r="A30" s="4" t="s">
        <v>100</v>
      </c>
      <c r="B30" s="4" t="s">
        <v>101</v>
      </c>
      <c r="C30" s="18" t="str">
        <f>IF(Expert_A!F28="","",Expert_A!F28)</f>
        <v xml:space="preserve">Steel Rolls </v>
      </c>
      <c r="D30" s="18" t="str">
        <f>IF(Expert_A!G28="","",Expert_A!G28)</f>
        <v>Steel hot rolled coil, production mix, at plant, blast furnace route, thickness 2 to 7 mm, width 600 to 2100 mm | RER | 119e8cc1</v>
      </c>
      <c r="E30" s="18" t="str">
        <f>IF(Expert_A!I28="","",Expert_A!I28)</f>
        <v>Proxy</v>
      </c>
      <c r="F30" s="18" t="str">
        <f>IF(Expert_B!F28="","",Expert_B!F28)</f>
        <v>CGI Sheets</v>
      </c>
      <c r="G30" s="18" t="str">
        <f>IF(Expert_B!G28="","",Expert_B!G28)</f>
        <v>corrugated board sheets, production mix, at plant, technology mix, 18% primary fibre, 82 % recycled fibre | EU-27 | 7311da1a</v>
      </c>
      <c r="H30" s="18" t="str">
        <f>IF(Expert_B!I28="","",Expert_B!I28)</f>
        <v>Proxy</v>
      </c>
      <c r="I30" s="18" t="str">
        <f t="shared" si="0"/>
        <v>PARTIAL</v>
      </c>
      <c r="J30" s="9" t="s">
        <v>119</v>
      </c>
      <c r="K30" s="9" t="s">
        <v>151</v>
      </c>
      <c r="L30" s="11" t="str">
        <f>IF(OR(K30="",LOWER(TRIM(K30))="not available",LOWER(TRIM(K30))="n/a"),"",IFERROR(VLOOKUP(K30,ELCD_Catalog!$A$2:$B$609,2,FALSE),""))</f>
        <v>7311da1a-673f-96b5-66ef-00004409928e</v>
      </c>
      <c r="M30" s="9" t="str">
        <f>IF(OR(K30="",LOWER(TRIM(K30))="not available",LOWER(TRIM(K30))="n/a"),"Review Required",IF(AND(E30="Direct",H30="Direct"),"Direct","Proxy"))</f>
        <v>Proxy</v>
      </c>
      <c r="N30" s="20"/>
      <c r="O30" s="20"/>
      <c r="P30" s="20"/>
      <c r="Q30" s="20"/>
      <c r="R30" s="20"/>
    </row>
    <row r="31" spans="1:18" ht="55.2">
      <c r="A31" s="4" t="s">
        <v>102</v>
      </c>
      <c r="B31" s="4" t="s">
        <v>103</v>
      </c>
      <c r="C31" s="18" t="str">
        <f>IF(Expert_A!F29="","",Expert_A!F29)</f>
        <v>Plywood</v>
      </c>
      <c r="D31" s="18" t="str">
        <f>IF(Expert_A!G29="","",Expert_A!G29)</f>
        <v>Pine wood, production mix, at saw mill, timber, 40% water content | DE | 621e64d0</v>
      </c>
      <c r="E31" s="18" t="str">
        <f>IF(Expert_A!I29="","",Expert_A!I29)</f>
        <v>Proxy</v>
      </c>
      <c r="F31" s="18" t="str">
        <f>IF(Expert_B!F29="","",Expert_B!F29)</f>
        <v>Plywood</v>
      </c>
      <c r="G31" s="18" t="str">
        <f>IF(Expert_B!G29="","",Expert_B!G29)</f>
        <v>Landfill of wood products (OSB, particle board), at landfill site, landfill including landfill gas utilisation and leachate treatment and without collection, transport and   pre-treatment | EU-27 | 64197303</v>
      </c>
      <c r="H31" s="18" t="str">
        <f>IF(Expert_B!I29="","",Expert_B!I29)</f>
        <v>Proxy</v>
      </c>
      <c r="I31" s="18" t="str">
        <f t="shared" si="0"/>
        <v>PARTIAL</v>
      </c>
      <c r="J31" s="9" t="str">
        <f t="shared" si="1"/>
        <v>Plywood</v>
      </c>
      <c r="K31" s="9" t="s">
        <v>154</v>
      </c>
      <c r="L31" s="11" t="str">
        <f>IF(OR(K31="",LOWER(TRIM(K31))="not available",LOWER(TRIM(K31))="n/a"),"",IFERROR(VLOOKUP(K31,ELCD_Catalog!$A$2:$B$609,2,FALSE),""))</f>
        <v>621e64d0-f471-4023-9ebc-a52cd8ee573f</v>
      </c>
      <c r="M31" s="9" t="str">
        <f>IF(OR(K31="",LOWER(TRIM(K31))="not available",LOWER(TRIM(K31))="n/a"),"Review Required",IF(AND(E31="Direct",H31="Direct"),"Direct","Proxy"))</f>
        <v>Proxy</v>
      </c>
      <c r="N31" s="20"/>
      <c r="O31" s="20"/>
      <c r="P31" s="20"/>
      <c r="Q31" s="20"/>
      <c r="R31" s="20"/>
    </row>
    <row r="32" spans="1:18" ht="27.6">
      <c r="A32" s="4" t="s">
        <v>104</v>
      </c>
      <c r="B32" s="4" t="s">
        <v>105</v>
      </c>
      <c r="C32" s="18" t="str">
        <f>IF(Expert_A!F30="","",Expert_A!F30)</f>
        <v>Bamboo</v>
      </c>
      <c r="D32" s="18" t="str">
        <f>IF(Expert_A!G30="","",Expert_A!G30)</f>
        <v>Not available</v>
      </c>
      <c r="E32" s="18" t="str">
        <f>IF(Expert_A!I30="","",Expert_A!I30)</f>
        <v>Review Required</v>
      </c>
      <c r="F32" s="18" t="str">
        <f>IF(Expert_B!F30="","",Expert_B!F30)</f>
        <v>Bamboo</v>
      </c>
      <c r="G32" s="18" t="str">
        <f>IF(Expert_B!G30="","",Expert_B!G30)</f>
        <v>Not available</v>
      </c>
      <c r="H32" s="18" t="str">
        <f>IF(Expert_B!I30="","",Expert_B!I30)</f>
        <v>Review Required</v>
      </c>
      <c r="I32" s="18" t="str">
        <f t="shared" si="0"/>
        <v>AGREE</v>
      </c>
      <c r="J32" s="9" t="str">
        <f t="shared" si="1"/>
        <v>Bamboo</v>
      </c>
      <c r="K32" s="9" t="s">
        <v>153</v>
      </c>
      <c r="L32" s="11" t="str">
        <f>IF(OR(K32="",LOWER(TRIM(K32))="not available",LOWER(TRIM(K32))="n/a"),"",IFERROR(VLOOKUP(K32,ELCD_Catalog!$A$2:$B$609,2,FALSE),""))</f>
        <v/>
      </c>
      <c r="M32" s="9" t="str">
        <f t="shared" si="3"/>
        <v>Review Required</v>
      </c>
      <c r="N32" s="20"/>
      <c r="O32" s="20"/>
      <c r="P32" s="20"/>
      <c r="Q32" s="20"/>
      <c r="R32" s="20"/>
    </row>
    <row r="33" spans="1:18" ht="69">
      <c r="A33" s="4" t="s">
        <v>106</v>
      </c>
      <c r="B33" s="4" t="s">
        <v>32</v>
      </c>
      <c r="C33" s="18" t="str">
        <f>IF(Expert_A!F31="","",Expert_A!F31)</f>
        <v>Cement</v>
      </c>
      <c r="D33" s="18" t="str">
        <f>IF(Expert_A!G31="","",Expert_A!G31)</f>
        <v>Portland cement (CEM I), CEMBUREAU production mix, at plant, CEMBUREAU technology mix, EN 197-1 | RER | 600573dd</v>
      </c>
      <c r="E33" s="18" t="str">
        <f>IF(Expert_A!I31="","",Expert_A!I31)</f>
        <v>Direct</v>
      </c>
      <c r="F33" s="18" t="str">
        <f>IF(Expert_B!F31="","",Expert_B!F31)</f>
        <v>Cement</v>
      </c>
      <c r="G33" s="18" t="str">
        <f>IF(Expert_B!G31="","",Expert_B!G31)</f>
        <v>Portland cement (CEM I), CEMBUREAU production mix, at plant, CEMBUREAU technology mix, EN 197-1 | RER | 600573dd</v>
      </c>
      <c r="H33" s="18" t="str">
        <f>IF(Expert_B!I31="","",Expert_B!I31)</f>
        <v>Direct</v>
      </c>
      <c r="I33" s="18" t="str">
        <f t="shared" si="0"/>
        <v>AGREE</v>
      </c>
      <c r="J33" s="9" t="str">
        <f t="shared" si="1"/>
        <v>Cement</v>
      </c>
      <c r="K33" s="9" t="str">
        <f t="shared" si="2"/>
        <v>Portland cement (CEM I), CEMBUREAU production mix, at plant, CEMBUREAU technology mix, EN 197-1 | RER | 600573dd</v>
      </c>
      <c r="L33" s="11" t="str">
        <f>IF(OR(K33="",LOWER(TRIM(K33))="not available",LOWER(TRIM(K33))="n/a"),"",IFERROR(VLOOKUP(K33,ELCD_Catalog!$A$2:$B$609,2,FALSE),""))</f>
        <v>600573dd-dfa5-44e5-b458-8727e793ffd7</v>
      </c>
      <c r="M33" s="9" t="str">
        <f t="shared" si="3"/>
        <v>Direct</v>
      </c>
      <c r="N33" s="20"/>
      <c r="O33" s="20"/>
      <c r="P33" s="20"/>
      <c r="Q33" s="20"/>
      <c r="R33" s="20"/>
    </row>
    <row r="34" spans="1:18" ht="41.4">
      <c r="A34" s="4" t="s">
        <v>108</v>
      </c>
      <c r="B34" s="4" t="s">
        <v>36</v>
      </c>
      <c r="C34" s="18" t="str">
        <f>IF(Expert_A!F32="","",Expert_A!F32)</f>
        <v>Sand</v>
      </c>
      <c r="D34" s="18" t="str">
        <f>IF(Expert_A!G32="","",Expert_A!G32)</f>
        <v>Sand 0/2, production mix, at plant, wet and dry quarry, undried | RER | 898618b1</v>
      </c>
      <c r="E34" s="18" t="str">
        <f>IF(Expert_A!I32="","",Expert_A!I32)</f>
        <v>Direct</v>
      </c>
      <c r="F34" s="18" t="str">
        <f>IF(Expert_B!F32="","",Expert_B!F32)</f>
        <v>Sand</v>
      </c>
      <c r="G34" s="18" t="str">
        <f>IF(Expert_B!G32="","",Expert_B!G32)</f>
        <v>Sand 0/2, production mix, at plant, wet and dry quarry, undried | RER | 898618b1</v>
      </c>
      <c r="H34" s="18" t="str">
        <f>IF(Expert_B!I32="","",Expert_B!I32)</f>
        <v>Direct</v>
      </c>
      <c r="I34" s="18" t="str">
        <f t="shared" si="0"/>
        <v>AGREE</v>
      </c>
      <c r="J34" s="9" t="str">
        <f t="shared" si="1"/>
        <v>Sand</v>
      </c>
      <c r="K34" s="9" t="str">
        <f t="shared" si="2"/>
        <v>Sand 0/2, production mix, at plant, wet and dry quarry, undried | RER | 898618b1</v>
      </c>
      <c r="L34" s="11" t="str">
        <f>IF(OR(K34="",LOWER(TRIM(K34))="not available",LOWER(TRIM(K34))="n/a"),"",IFERROR(VLOOKUP(K34,ELCD_Catalog!$A$2:$B$609,2,FALSE),""))</f>
        <v>898618b1-3306-11dd-bd11-0800200c9a66</v>
      </c>
      <c r="M34" s="9" t="str">
        <f t="shared" si="3"/>
        <v>Direct</v>
      </c>
      <c r="N34" s="20"/>
      <c r="O34" s="20"/>
      <c r="P34" s="20"/>
      <c r="Q34" s="20"/>
      <c r="R34" s="20"/>
    </row>
    <row r="35" spans="1:18" ht="41.4">
      <c r="A35" s="4" t="s">
        <v>109</v>
      </c>
      <c r="B35" s="4" t="s">
        <v>38</v>
      </c>
      <c r="C35" s="18" t="str">
        <f>IF(Expert_A!F33="","",Expert_A!F33)</f>
        <v>Gravel</v>
      </c>
      <c r="D35" s="18" t="str">
        <f>IF(Expert_A!G33="","",Expert_A!G33)</f>
        <v>Gravel 2/32, production mix, at plant, wet and dry quarry, undried | RER | 898618b2</v>
      </c>
      <c r="E35" s="18" t="str">
        <f>IF(Expert_A!I33="","",Expert_A!I33)</f>
        <v>Direct</v>
      </c>
      <c r="F35" s="18" t="str">
        <f>IF(Expert_B!F33="","",Expert_B!F33)</f>
        <v>Gravel</v>
      </c>
      <c r="G35" s="18" t="str">
        <f>IF(Expert_B!G33="","",Expert_B!G33)</f>
        <v>Gravel 2/32, production mix, at plant, wet and dry quarry, undried | RER | 898618b2</v>
      </c>
      <c r="H35" s="18" t="str">
        <f>IF(Expert_B!I33="","",Expert_B!I33)</f>
        <v>Direct</v>
      </c>
      <c r="I35" s="18" t="str">
        <f t="shared" si="0"/>
        <v>AGREE</v>
      </c>
      <c r="J35" s="9" t="str">
        <f t="shared" si="1"/>
        <v>Gravel</v>
      </c>
      <c r="K35" s="9" t="str">
        <f t="shared" si="2"/>
        <v>Gravel 2/32, production mix, at plant, wet and dry quarry, undried | RER | 898618b2</v>
      </c>
      <c r="L35" s="11" t="str">
        <f>IF(OR(K35="",LOWER(TRIM(K35))="not available",LOWER(TRIM(K35))="n/a"),"",IFERROR(VLOOKUP(K35,ELCD_Catalog!$A$2:$B$609,2,FALSE),""))</f>
        <v>898618b2-3306-11dd-bd11-0800200c9a66</v>
      </c>
      <c r="M35" s="9" t="str">
        <f t="shared" si="3"/>
        <v>Direct</v>
      </c>
      <c r="N35" s="20"/>
      <c r="O35" s="20"/>
      <c r="P35" s="20"/>
      <c r="Q35" s="20"/>
      <c r="R35" s="20"/>
    </row>
    <row r="36" spans="1:18" ht="27.6">
      <c r="A36" s="4" t="s">
        <v>110</v>
      </c>
      <c r="B36" s="4" t="s">
        <v>111</v>
      </c>
      <c r="C36" s="18" t="str">
        <f>IF(Expert_A!F34="","",Expert_A!F34)</f>
        <v>Soil</v>
      </c>
      <c r="D36" s="18" t="str">
        <f>IF(Expert_A!G34="","",Expert_A!G34)</f>
        <v>Not available</v>
      </c>
      <c r="E36" s="18" t="str">
        <f>IF(Expert_A!I34="","",Expert_A!I34)</f>
        <v>Review Required</v>
      </c>
      <c r="F36" s="18" t="str">
        <f>IF(Expert_B!F34="","",Expert_B!F34)</f>
        <v>Blocks</v>
      </c>
      <c r="G36" s="18" t="str">
        <f>IF(Expert_B!G34="","",Expert_B!G34)</f>
        <v>Not available</v>
      </c>
      <c r="H36" s="18" t="str">
        <f>IF(Expert_B!I34="","",Expert_B!I34)</f>
        <v>Review Required</v>
      </c>
      <c r="I36" s="18" t="str">
        <f t="shared" si="0"/>
        <v>PARTIAL</v>
      </c>
      <c r="J36" s="9" t="s">
        <v>81</v>
      </c>
      <c r="K36" s="9" t="s">
        <v>153</v>
      </c>
      <c r="L36" s="11" t="str">
        <f>IF(OR(K36="",LOWER(TRIM(K36))="not available",LOWER(TRIM(K36))="n/a"),"",IFERROR(VLOOKUP(K36,ELCD_Catalog!$A$2:$B$609,2,FALSE),""))</f>
        <v/>
      </c>
      <c r="M36" s="9" t="str">
        <f t="shared" si="3"/>
        <v>Review Required</v>
      </c>
      <c r="N36" s="20"/>
      <c r="O36" s="20"/>
      <c r="P36" s="20"/>
      <c r="Q36" s="20"/>
      <c r="R36" s="20"/>
    </row>
    <row r="37" spans="1:18" ht="55.2">
      <c r="A37" s="4" t="s">
        <v>113</v>
      </c>
      <c r="B37" s="4" t="s">
        <v>114</v>
      </c>
      <c r="C37" s="18" t="str">
        <f>IF(Expert_A!F35="","",Expert_A!F35)</f>
        <v xml:space="preserve">Wood </v>
      </c>
      <c r="D37" s="18" t="str">
        <f>IF(Expert_A!G35="","",Expert_A!G35)</f>
        <v>Spruce wood, production mix, at saw mill, timber, 40% water content | DE | 2b61a4d6</v>
      </c>
      <c r="E37" s="18" t="str">
        <f>IF(Expert_A!I35="","",Expert_A!I35)</f>
        <v>Direct</v>
      </c>
      <c r="F37" s="18" t="str">
        <f>IF(Expert_B!F35="","",Expert_B!F35)</f>
        <v>Wood</v>
      </c>
      <c r="G37" s="18" t="str">
        <f>IF(Expert_B!G35="","",Expert_B!G35)</f>
        <v>Pine wood, production mix, at saw mill, timber, 40% water content | DE | 621e64d0</v>
      </c>
      <c r="H37" s="18" t="str">
        <f>IF(Expert_B!I35="","",Expert_B!I35)</f>
        <v>Proxy</v>
      </c>
      <c r="I37" s="18" t="str">
        <f t="shared" si="0"/>
        <v>PARTIAL</v>
      </c>
      <c r="J37" s="9" t="str">
        <f t="shared" si="1"/>
        <v>Wood</v>
      </c>
      <c r="K37" s="9" t="s">
        <v>152</v>
      </c>
      <c r="L37" s="11" t="str">
        <f>IF(OR(K37="",LOWER(TRIM(K37))="not available",LOWER(TRIM(K37))="n/a"),"",IFERROR(VLOOKUP(K37,ELCD_Catalog!$A$2:$B$609,2,FALSE),""))</f>
        <v>2b61a4d6-bd1d-4ea3-828c-fdbdf5fca1f9</v>
      </c>
      <c r="M37" s="9" t="str">
        <f>IF(OR(K37="",LOWER(TRIM(K37))="not available",LOWER(TRIM(K37))="n/a"),"Review Required",IF(AND(E37="Direct",H37="Direct"),"Direct","Proxy"))</f>
        <v>Proxy</v>
      </c>
      <c r="N37" s="20"/>
      <c r="O37" s="20"/>
      <c r="P37" s="20"/>
      <c r="Q37" s="20"/>
      <c r="R37" s="20"/>
    </row>
    <row r="38" spans="1:18" ht="27.6">
      <c r="A38" s="4" t="s">
        <v>115</v>
      </c>
      <c r="B38" s="4" t="s">
        <v>105</v>
      </c>
      <c r="C38" s="18" t="str">
        <f>IF(Expert_A!F36="","",Expert_A!F36)</f>
        <v>Bamboo</v>
      </c>
      <c r="D38" s="18" t="str">
        <f>IF(Expert_A!G36="","",Expert_A!G36)</f>
        <v>Not available</v>
      </c>
      <c r="E38" s="18" t="str">
        <f>IF(Expert_A!I36="","",Expert_A!I36)</f>
        <v>Review Required</v>
      </c>
      <c r="F38" s="18" t="str">
        <f>IF(Expert_B!F36="","",Expert_B!F36)</f>
        <v>Bamboo</v>
      </c>
      <c r="G38" s="18" t="str">
        <f>IF(Expert_B!G36="","",Expert_B!G36)</f>
        <v>Not available</v>
      </c>
      <c r="H38" s="18" t="str">
        <f>IF(Expert_B!I36="","",Expert_B!I36)</f>
        <v>Review Required</v>
      </c>
      <c r="I38" s="18" t="str">
        <f t="shared" si="0"/>
        <v>AGREE</v>
      </c>
      <c r="J38" s="9" t="str">
        <f t="shared" si="1"/>
        <v>Bamboo</v>
      </c>
      <c r="K38" s="9" t="s">
        <v>153</v>
      </c>
      <c r="L38" s="11" t="str">
        <f>IF(OR(K38="",LOWER(TRIM(K38))="not available",LOWER(TRIM(K38))="n/a"),"",IFERROR(VLOOKUP(K38,ELCD_Catalog!$A$2:$B$609,2,FALSE),""))</f>
        <v/>
      </c>
      <c r="M38" s="9" t="str">
        <f t="shared" si="3"/>
        <v>Review Required</v>
      </c>
      <c r="N38" s="20"/>
      <c r="O38" s="20"/>
      <c r="P38" s="20"/>
      <c r="Q38" s="20"/>
      <c r="R38" s="20"/>
    </row>
    <row r="39" spans="1:18" ht="55.2">
      <c r="A39" s="4" t="s">
        <v>116</v>
      </c>
      <c r="B39" s="4" t="s">
        <v>55</v>
      </c>
      <c r="C39" s="18" t="str">
        <f>IF(Expert_A!F37="","",Expert_A!F37)</f>
        <v>Rebar</v>
      </c>
      <c r="D39" s="18" t="str">
        <f>IF(Expert_A!G37="","",Expert_A!G37)</f>
        <v>Steel rebar, production mix, at plant, blast furnace and electric arc furnace route, | GLO | 268a11fb</v>
      </c>
      <c r="E39" s="18" t="str">
        <f>IF(Expert_A!I37="","",Expert_A!I37)</f>
        <v>Direct</v>
      </c>
      <c r="F39" s="18" t="str">
        <f>IF(Expert_B!F37="","",Expert_B!F37)</f>
        <v>Rebar</v>
      </c>
      <c r="G39" s="18" t="str">
        <f>IF(Expert_B!G37="","",Expert_B!G37)</f>
        <v>Steel rebar, production mix, at plant, blast furnace and electric arc furnace route, | GLO | 268a11fb</v>
      </c>
      <c r="H39" s="18" t="str">
        <f>IF(Expert_B!I37="","",Expert_B!I37)</f>
        <v>Direct</v>
      </c>
      <c r="I39" s="18" t="str">
        <f t="shared" si="0"/>
        <v>AGREE</v>
      </c>
      <c r="J39" s="9" t="str">
        <f t="shared" si="1"/>
        <v>Rebar</v>
      </c>
      <c r="K39" s="9" t="str">
        <f t="shared" si="2"/>
        <v>Steel rebar, production mix, at plant, blast furnace and electric arc furnace route, | GLO | 268a11fb</v>
      </c>
      <c r="L39" s="11" t="str">
        <f>IF(OR(K39="",LOWER(TRIM(K39))="not available",LOWER(TRIM(K39))="n/a"),"",IFERROR(VLOOKUP(K39,ELCD_Catalog!$A$2:$B$609,2,FALSE),""))</f>
        <v>268a11fb-baf2-4b9e-8867-38bea0e76ef6</v>
      </c>
      <c r="M39" s="9" t="str">
        <f t="shared" si="3"/>
        <v>Direct</v>
      </c>
      <c r="N39" s="20"/>
      <c r="O39" s="20"/>
      <c r="P39" s="20"/>
      <c r="Q39" s="20"/>
      <c r="R39" s="20"/>
    </row>
    <row r="40" spans="1:18" ht="27.6">
      <c r="A40" s="4" t="s">
        <v>117</v>
      </c>
      <c r="B40" s="4" t="s">
        <v>81</v>
      </c>
      <c r="C40" s="18" t="str">
        <f>IF(Expert_A!F38="","",Expert_A!F38)</f>
        <v>Soil</v>
      </c>
      <c r="D40" s="18" t="str">
        <f>IF(Expert_A!G38="","",Expert_A!G38)</f>
        <v>Not available</v>
      </c>
      <c r="E40" s="18" t="str">
        <f>IF(Expert_A!I38="","",Expert_A!I38)</f>
        <v>Review Required</v>
      </c>
      <c r="F40" s="18" t="str">
        <f>IF(Expert_B!F38="","",Expert_B!F38)</f>
        <v>Soil</v>
      </c>
      <c r="G40" s="18" t="str">
        <f>IF(Expert_B!G38="","",Expert_B!G38)</f>
        <v>Not available</v>
      </c>
      <c r="H40" s="18" t="str">
        <f>IF(Expert_B!I38="","",Expert_B!I38)</f>
        <v>Review Required</v>
      </c>
      <c r="I40" s="18" t="str">
        <f t="shared" si="0"/>
        <v>AGREE</v>
      </c>
      <c r="J40" s="9" t="str">
        <f t="shared" si="1"/>
        <v>Soil</v>
      </c>
      <c r="K40" s="9" t="s">
        <v>153</v>
      </c>
      <c r="L40" s="11" t="str">
        <f>IF(OR(K40="",LOWER(TRIM(K40))="not available",LOWER(TRIM(K40))="n/a"),"",IFERROR(VLOOKUP(K40,ELCD_Catalog!$A$2:$B$609,2,FALSE),""))</f>
        <v/>
      </c>
      <c r="M40" s="9" t="str">
        <f t="shared" si="3"/>
        <v>Review Required</v>
      </c>
      <c r="N40" s="20"/>
      <c r="O40" s="20"/>
      <c r="P40" s="20"/>
      <c r="Q40" s="20"/>
      <c r="R40" s="20"/>
    </row>
    <row r="41" spans="1:18" ht="82.8">
      <c r="A41" s="5" t="s">
        <v>118</v>
      </c>
      <c r="B41" s="5" t="s">
        <v>119</v>
      </c>
      <c r="C41" s="19" t="str">
        <f>IF(Expert_A!F39="","",Expert_A!F39)</f>
        <v xml:space="preserve">Steel Rolls </v>
      </c>
      <c r="D41" s="19" t="str">
        <f>IF(Expert_A!G39="","",Expert_A!G39)</f>
        <v>Steel hot rolled coil, production mix, at plant, blast furnace route, thickness 2 to 7 mm, width 600 to 2100 mm | RER | 119e8cc1</v>
      </c>
      <c r="E41" s="19" t="str">
        <f>IF(Expert_A!I39="","",Expert_A!I39)</f>
        <v>Proxy</v>
      </c>
      <c r="F41" s="19" t="str">
        <f>IF(Expert_B!F39="","",Expert_B!F39)</f>
        <v>CGI Sheets</v>
      </c>
      <c r="G41" s="19" t="str">
        <f>IF(Expert_B!G39="","",Expert_B!G39)</f>
        <v>corrugated board sheets, production mix, at plant, technology mix, 18% primary fibre, 82 % recycled fibre | EU-27 | 7311da1a</v>
      </c>
      <c r="H41" s="19" t="str">
        <f>IF(Expert_B!I39="","",Expert_B!I39)</f>
        <v>Proxy</v>
      </c>
      <c r="I41" s="19" t="str">
        <f t="shared" si="0"/>
        <v>PARTIAL</v>
      </c>
      <c r="J41" s="10" t="s">
        <v>119</v>
      </c>
      <c r="K41" s="10" t="s">
        <v>151</v>
      </c>
      <c r="L41" s="12" t="str">
        <f>IF(OR(K41="",LOWER(TRIM(K41))="not available",LOWER(TRIM(K41))="n/a"),"",IFERROR(VLOOKUP(K41,ELCD_Catalog!$A$2:$B$609,2,FALSE),""))</f>
        <v>7311da1a-673f-96b5-66ef-00004409928e</v>
      </c>
      <c r="M41" s="10" t="str">
        <f t="shared" si="3"/>
        <v>Proxy</v>
      </c>
      <c r="N41" s="21"/>
      <c r="O41" s="21"/>
      <c r="P41" s="21"/>
      <c r="Q41" s="21"/>
      <c r="R41" s="20"/>
    </row>
  </sheetData>
  <mergeCells count="2">
    <mergeCell ref="A1:Q1"/>
    <mergeCell ref="A2:R2"/>
  </mergeCells>
  <conditionalFormatting sqref="I7:I41">
    <cfRule type="expression" dxfId="11" priority="1">
      <formula>I7="AGREE"</formula>
    </cfRule>
    <cfRule type="expression" dxfId="10" priority="2">
      <formula>I7="RECONCILE"</formula>
    </cfRule>
    <cfRule type="expression" dxfId="9" priority="5">
      <formula>I7="AGREE"</formula>
    </cfRule>
    <cfRule type="expression" dxfId="8" priority="6">
      <formula>I7="RECONCILE"</formula>
    </cfRule>
  </conditionalFormatting>
  <conditionalFormatting sqref="P7:P41">
    <cfRule type="expression" dxfId="7" priority="3">
      <formula>P7="Exact Match"</formula>
    </cfRule>
    <cfRule type="expression" dxfId="6" priority="4">
      <formula>P7="Incorrect"</formula>
    </cfRule>
  </conditionalFormatting>
  <dataValidations count="3">
    <dataValidation type="list" sqref="L7:M41 O7:P41" xr:uid="{00000000-0002-0000-0300-000000000000}">
      <formula1>"Direct,Proxy,Review Required"</formula1>
    </dataValidation>
    <dataValidation type="list" sqref="K7:K41" xr:uid="{00000000-0002-0000-0300-000001000000}">
      <formula1>INDIRECT("ELCD_Catalog!$A$2:$A$609")</formula1>
    </dataValidation>
    <dataValidation type="list" sqref="Q7:Q41" xr:uid="{00000000-0002-0000-0300-000002000000}">
      <formula1>"Exact Match,Acceptable Alternative,Incorrect,Review Required"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09"/>
  <sheetViews>
    <sheetView workbookViewId="0"/>
  </sheetViews>
  <sheetFormatPr defaultRowHeight="13.8"/>
  <cols>
    <col min="1" max="1" width="58" customWidth="1"/>
    <col min="2" max="2" width="38" customWidth="1"/>
    <col min="3" max="3" width="52" customWidth="1"/>
    <col min="4" max="4" width="12" customWidth="1"/>
    <col min="5" max="5" width="22" customWidth="1"/>
    <col min="6" max="6" width="24" customWidth="1"/>
    <col min="7" max="7" width="16" customWidth="1"/>
    <col min="9" max="9" width="18" customWidth="1"/>
    <col min="10" max="10" width="44" customWidth="1"/>
  </cols>
  <sheetData>
    <row r="1" spans="1:10" ht="27.6">
      <c r="A1" s="7" t="s">
        <v>156</v>
      </c>
      <c r="B1" s="7" t="s">
        <v>157</v>
      </c>
      <c r="C1" s="7" t="s">
        <v>158</v>
      </c>
      <c r="D1" s="7" t="s">
        <v>159</v>
      </c>
      <c r="E1" s="7" t="s">
        <v>160</v>
      </c>
      <c r="F1" s="7" t="s">
        <v>161</v>
      </c>
      <c r="G1" s="7" t="s">
        <v>162</v>
      </c>
      <c r="I1" s="8" t="s">
        <v>163</v>
      </c>
      <c r="J1" s="8"/>
    </row>
    <row r="2" spans="1:10" ht="27.6">
      <c r="A2" s="3" t="s">
        <v>164</v>
      </c>
      <c r="B2" s="3" t="s">
        <v>165</v>
      </c>
      <c r="C2" s="3" t="s">
        <v>166</v>
      </c>
      <c r="D2" s="3" t="s">
        <v>167</v>
      </c>
      <c r="E2" s="3" t="s">
        <v>168</v>
      </c>
      <c r="F2" s="3"/>
      <c r="G2" s="3"/>
      <c r="I2" s="3">
        <v>1</v>
      </c>
      <c r="J2" s="3" t="s">
        <v>169</v>
      </c>
    </row>
    <row r="3" spans="1:10" ht="27.6">
      <c r="A3" s="3" t="s">
        <v>170</v>
      </c>
      <c r="B3" s="3" t="s">
        <v>171</v>
      </c>
      <c r="C3" s="3" t="s">
        <v>172</v>
      </c>
      <c r="D3" s="3" t="s">
        <v>173</v>
      </c>
      <c r="E3" s="3" t="s">
        <v>168</v>
      </c>
      <c r="F3" s="3"/>
      <c r="G3" s="3"/>
      <c r="I3" s="3">
        <v>2</v>
      </c>
      <c r="J3" s="3" t="s">
        <v>174</v>
      </c>
    </row>
    <row r="4" spans="1:10" ht="27.6">
      <c r="A4" s="3" t="s">
        <v>175</v>
      </c>
      <c r="B4" s="3" t="s">
        <v>176</v>
      </c>
      <c r="C4" s="3" t="s">
        <v>177</v>
      </c>
      <c r="D4" s="3" t="s">
        <v>178</v>
      </c>
      <c r="E4" s="3" t="s">
        <v>168</v>
      </c>
      <c r="F4" s="3"/>
      <c r="G4" s="3"/>
      <c r="I4" s="3">
        <v>3</v>
      </c>
      <c r="J4" s="3" t="s">
        <v>179</v>
      </c>
    </row>
    <row r="5" spans="1:10" ht="27.6">
      <c r="A5" s="3" t="s">
        <v>180</v>
      </c>
      <c r="B5" s="3" t="s">
        <v>181</v>
      </c>
      <c r="C5" s="3" t="s">
        <v>182</v>
      </c>
      <c r="D5" s="3" t="s">
        <v>178</v>
      </c>
      <c r="E5" s="3" t="s">
        <v>168</v>
      </c>
      <c r="F5" s="3"/>
      <c r="G5" s="3"/>
    </row>
    <row r="6" spans="1:10" ht="27.6">
      <c r="A6" s="3" t="s">
        <v>183</v>
      </c>
      <c r="B6" s="3" t="s">
        <v>184</v>
      </c>
      <c r="C6" s="3" t="s">
        <v>185</v>
      </c>
      <c r="D6" s="3" t="s">
        <v>186</v>
      </c>
      <c r="E6" s="3" t="s">
        <v>168</v>
      </c>
      <c r="F6" s="3"/>
      <c r="G6" s="3"/>
    </row>
    <row r="7" spans="1:10" ht="27.6">
      <c r="A7" s="3" t="s">
        <v>187</v>
      </c>
      <c r="B7" s="3" t="s">
        <v>188</v>
      </c>
      <c r="C7" s="3" t="s">
        <v>189</v>
      </c>
      <c r="D7" s="3" t="s">
        <v>190</v>
      </c>
      <c r="E7" s="3" t="s">
        <v>168</v>
      </c>
      <c r="F7" s="3"/>
      <c r="G7" s="3"/>
    </row>
    <row r="8" spans="1:10" ht="27.6">
      <c r="A8" s="3" t="s">
        <v>191</v>
      </c>
      <c r="B8" s="3" t="s">
        <v>192</v>
      </c>
      <c r="C8" s="3" t="s">
        <v>189</v>
      </c>
      <c r="D8" s="3" t="s">
        <v>193</v>
      </c>
      <c r="E8" s="3" t="s">
        <v>168</v>
      </c>
      <c r="F8" s="3"/>
      <c r="G8" s="3"/>
    </row>
    <row r="9" spans="1:10" ht="27.6">
      <c r="A9" s="3" t="s">
        <v>194</v>
      </c>
      <c r="B9" s="3" t="s">
        <v>195</v>
      </c>
      <c r="C9" s="3" t="s">
        <v>196</v>
      </c>
      <c r="D9" s="3" t="s">
        <v>197</v>
      </c>
      <c r="E9" s="3" t="s">
        <v>168</v>
      </c>
      <c r="F9" s="3"/>
      <c r="G9" s="3"/>
    </row>
    <row r="10" spans="1:10" ht="27.6">
      <c r="A10" s="3" t="s">
        <v>198</v>
      </c>
      <c r="B10" s="3" t="s">
        <v>199</v>
      </c>
      <c r="C10" s="3" t="s">
        <v>200</v>
      </c>
      <c r="D10" s="3" t="s">
        <v>173</v>
      </c>
      <c r="E10" s="3" t="s">
        <v>168</v>
      </c>
      <c r="F10" s="3"/>
      <c r="G10" s="3"/>
    </row>
    <row r="11" spans="1:10" ht="27.6">
      <c r="A11" s="3" t="s">
        <v>201</v>
      </c>
      <c r="B11" s="3" t="s">
        <v>202</v>
      </c>
      <c r="C11" s="3" t="s">
        <v>203</v>
      </c>
      <c r="D11" s="3" t="s">
        <v>204</v>
      </c>
      <c r="E11" s="3" t="s">
        <v>205</v>
      </c>
      <c r="F11" s="3"/>
      <c r="G11" s="3"/>
    </row>
    <row r="12" spans="1:10" ht="27.6">
      <c r="A12" s="3" t="s">
        <v>206</v>
      </c>
      <c r="B12" s="3" t="s">
        <v>207</v>
      </c>
      <c r="C12" s="3" t="s">
        <v>208</v>
      </c>
      <c r="D12" s="3" t="s">
        <v>186</v>
      </c>
      <c r="E12" s="3" t="s">
        <v>168</v>
      </c>
      <c r="F12" s="3"/>
      <c r="G12" s="3"/>
    </row>
    <row r="13" spans="1:10" ht="27.6">
      <c r="A13" s="3" t="s">
        <v>209</v>
      </c>
      <c r="B13" s="3" t="s">
        <v>210</v>
      </c>
      <c r="C13" s="3" t="s">
        <v>211</v>
      </c>
      <c r="D13" s="3" t="s">
        <v>204</v>
      </c>
      <c r="E13" s="3" t="s">
        <v>168</v>
      </c>
      <c r="F13" s="3"/>
      <c r="G13" s="3"/>
    </row>
    <row r="14" spans="1:10" ht="27.6">
      <c r="A14" s="3" t="s">
        <v>212</v>
      </c>
      <c r="B14" s="3" t="s">
        <v>213</v>
      </c>
      <c r="C14" s="3" t="s">
        <v>196</v>
      </c>
      <c r="D14" s="3" t="s">
        <v>214</v>
      </c>
      <c r="E14" s="3" t="s">
        <v>168</v>
      </c>
      <c r="F14" s="3"/>
      <c r="G14" s="3"/>
    </row>
    <row r="15" spans="1:10" ht="27.6">
      <c r="A15" s="3" t="s">
        <v>215</v>
      </c>
      <c r="B15" s="3" t="s">
        <v>216</v>
      </c>
      <c r="C15" s="3" t="s">
        <v>217</v>
      </c>
      <c r="D15" s="3" t="s">
        <v>167</v>
      </c>
      <c r="E15" s="3" t="s">
        <v>168</v>
      </c>
      <c r="F15" s="3"/>
      <c r="G15" s="3"/>
    </row>
    <row r="16" spans="1:10" ht="41.4">
      <c r="A16" s="3" t="s">
        <v>218</v>
      </c>
      <c r="B16" s="3" t="s">
        <v>219</v>
      </c>
      <c r="C16" s="3" t="s">
        <v>220</v>
      </c>
      <c r="D16" s="3" t="s">
        <v>186</v>
      </c>
      <c r="E16" s="3" t="s">
        <v>168</v>
      </c>
      <c r="F16" s="3"/>
      <c r="G16" s="3"/>
    </row>
    <row r="17" spans="1:7" ht="41.4">
      <c r="A17" s="3" t="s">
        <v>221</v>
      </c>
      <c r="B17" s="3" t="s">
        <v>222</v>
      </c>
      <c r="C17" s="3" t="s">
        <v>223</v>
      </c>
      <c r="D17" s="3" t="s">
        <v>186</v>
      </c>
      <c r="E17" s="3" t="s">
        <v>168</v>
      </c>
      <c r="F17" s="3"/>
      <c r="G17" s="3"/>
    </row>
    <row r="18" spans="1:7" ht="27.6">
      <c r="A18" s="3" t="s">
        <v>224</v>
      </c>
      <c r="B18" s="3" t="s">
        <v>225</v>
      </c>
      <c r="C18" s="3" t="s">
        <v>200</v>
      </c>
      <c r="D18" s="3" t="s">
        <v>214</v>
      </c>
      <c r="E18" s="3" t="s">
        <v>168</v>
      </c>
      <c r="F18" s="3"/>
      <c r="G18" s="3"/>
    </row>
    <row r="19" spans="1:7" ht="27.6">
      <c r="A19" s="3" t="s">
        <v>226</v>
      </c>
      <c r="B19" s="3" t="s">
        <v>227</v>
      </c>
      <c r="C19" s="3" t="s">
        <v>228</v>
      </c>
      <c r="D19" s="3" t="s">
        <v>229</v>
      </c>
      <c r="E19" s="3" t="s">
        <v>168</v>
      </c>
      <c r="F19" s="3"/>
      <c r="G19" s="3"/>
    </row>
    <row r="20" spans="1:7" ht="27.6">
      <c r="A20" s="3" t="s">
        <v>230</v>
      </c>
      <c r="B20" s="3" t="s">
        <v>231</v>
      </c>
      <c r="C20" s="3" t="s">
        <v>232</v>
      </c>
      <c r="D20" s="3" t="s">
        <v>186</v>
      </c>
      <c r="E20" s="3" t="s">
        <v>168</v>
      </c>
      <c r="F20" s="3"/>
      <c r="G20" s="3"/>
    </row>
    <row r="21" spans="1:7" ht="27.6">
      <c r="A21" s="3" t="s">
        <v>233</v>
      </c>
      <c r="B21" s="3" t="s">
        <v>234</v>
      </c>
      <c r="C21" s="3" t="s">
        <v>235</v>
      </c>
      <c r="D21" s="3" t="s">
        <v>204</v>
      </c>
      <c r="E21" s="3" t="s">
        <v>168</v>
      </c>
      <c r="F21" s="3"/>
      <c r="G21" s="3"/>
    </row>
    <row r="22" spans="1:7" ht="27.6">
      <c r="A22" s="3" t="s">
        <v>236</v>
      </c>
      <c r="B22" s="3" t="s">
        <v>237</v>
      </c>
      <c r="C22" s="3" t="s">
        <v>200</v>
      </c>
      <c r="D22" s="3" t="s">
        <v>178</v>
      </c>
      <c r="E22" s="3" t="s">
        <v>168</v>
      </c>
      <c r="F22" s="3"/>
      <c r="G22" s="3"/>
    </row>
    <row r="23" spans="1:7" ht="27.6">
      <c r="A23" s="3" t="s">
        <v>238</v>
      </c>
      <c r="B23" s="3" t="s">
        <v>239</v>
      </c>
      <c r="C23" s="3" t="s">
        <v>240</v>
      </c>
      <c r="D23" s="3" t="s">
        <v>241</v>
      </c>
      <c r="E23" s="3" t="s">
        <v>168</v>
      </c>
      <c r="F23" s="3"/>
      <c r="G23" s="3"/>
    </row>
    <row r="24" spans="1:7" ht="27.6">
      <c r="A24" s="3" t="s">
        <v>242</v>
      </c>
      <c r="B24" s="3" t="s">
        <v>243</v>
      </c>
      <c r="C24" s="3" t="s">
        <v>244</v>
      </c>
      <c r="D24" s="3" t="s">
        <v>245</v>
      </c>
      <c r="E24" s="3" t="s">
        <v>168</v>
      </c>
      <c r="F24" s="3"/>
      <c r="G24" s="3"/>
    </row>
    <row r="25" spans="1:7" ht="27.6">
      <c r="A25" s="3" t="s">
        <v>246</v>
      </c>
      <c r="B25" s="3" t="s">
        <v>247</v>
      </c>
      <c r="C25" s="3" t="s">
        <v>244</v>
      </c>
      <c r="D25" s="3" t="s">
        <v>248</v>
      </c>
      <c r="E25" s="3" t="s">
        <v>168</v>
      </c>
      <c r="F25" s="3"/>
      <c r="G25" s="3"/>
    </row>
    <row r="26" spans="1:7" ht="27.6">
      <c r="A26" s="3" t="s">
        <v>249</v>
      </c>
      <c r="B26" s="3" t="s">
        <v>250</v>
      </c>
      <c r="C26" s="3" t="s">
        <v>172</v>
      </c>
      <c r="D26" s="3" t="s">
        <v>241</v>
      </c>
      <c r="E26" s="3" t="s">
        <v>168</v>
      </c>
      <c r="F26" s="3"/>
      <c r="G26" s="3"/>
    </row>
    <row r="27" spans="1:7" ht="27.6">
      <c r="A27" s="3" t="s">
        <v>251</v>
      </c>
      <c r="B27" s="3" t="s">
        <v>252</v>
      </c>
      <c r="C27" s="3" t="s">
        <v>217</v>
      </c>
      <c r="D27" s="3" t="s">
        <v>253</v>
      </c>
      <c r="E27" s="3" t="s">
        <v>168</v>
      </c>
      <c r="F27" s="3"/>
      <c r="G27" s="3"/>
    </row>
    <row r="28" spans="1:7" ht="27.6">
      <c r="A28" s="3" t="s">
        <v>254</v>
      </c>
      <c r="B28" s="3" t="s">
        <v>255</v>
      </c>
      <c r="C28" s="3" t="s">
        <v>240</v>
      </c>
      <c r="D28" s="3" t="s">
        <v>256</v>
      </c>
      <c r="E28" s="3" t="s">
        <v>168</v>
      </c>
      <c r="F28" s="3"/>
      <c r="G28" s="3"/>
    </row>
    <row r="29" spans="1:7" ht="55.2">
      <c r="A29" s="3" t="s">
        <v>257</v>
      </c>
      <c r="B29" s="3" t="s">
        <v>258</v>
      </c>
      <c r="C29" s="3" t="s">
        <v>259</v>
      </c>
      <c r="D29" s="3" t="s">
        <v>186</v>
      </c>
      <c r="E29" s="3" t="s">
        <v>168</v>
      </c>
      <c r="F29" s="3"/>
      <c r="G29" s="3"/>
    </row>
    <row r="30" spans="1:7" ht="27.6">
      <c r="A30" s="3" t="s">
        <v>260</v>
      </c>
      <c r="B30" s="3" t="s">
        <v>261</v>
      </c>
      <c r="C30" s="3" t="s">
        <v>262</v>
      </c>
      <c r="D30" s="3" t="s">
        <v>248</v>
      </c>
      <c r="E30" s="3" t="s">
        <v>168</v>
      </c>
      <c r="F30" s="3"/>
      <c r="G30" s="3"/>
    </row>
    <row r="31" spans="1:7" ht="27.6">
      <c r="A31" s="3" t="s">
        <v>263</v>
      </c>
      <c r="B31" s="3" t="s">
        <v>264</v>
      </c>
      <c r="C31" s="3" t="s">
        <v>265</v>
      </c>
      <c r="D31" s="3" t="s">
        <v>186</v>
      </c>
      <c r="E31" s="3" t="s">
        <v>168</v>
      </c>
      <c r="F31" s="3"/>
      <c r="G31" s="3"/>
    </row>
    <row r="32" spans="1:7" ht="27.6">
      <c r="A32" s="3" t="s">
        <v>266</v>
      </c>
      <c r="B32" s="3" t="s">
        <v>267</v>
      </c>
      <c r="C32" s="3" t="s">
        <v>268</v>
      </c>
      <c r="D32" s="3" t="s">
        <v>214</v>
      </c>
      <c r="E32" s="3" t="s">
        <v>168</v>
      </c>
      <c r="F32" s="3"/>
      <c r="G32" s="3"/>
    </row>
    <row r="33" spans="1:7" ht="27.6">
      <c r="A33" s="3" t="s">
        <v>269</v>
      </c>
      <c r="B33" s="3" t="s">
        <v>270</v>
      </c>
      <c r="C33" s="3" t="s">
        <v>172</v>
      </c>
      <c r="D33" s="3" t="s">
        <v>271</v>
      </c>
      <c r="E33" s="3" t="s">
        <v>168</v>
      </c>
      <c r="F33" s="3"/>
      <c r="G33" s="3"/>
    </row>
    <row r="34" spans="1:7" ht="27.6">
      <c r="A34" s="3" t="s">
        <v>272</v>
      </c>
      <c r="B34" s="3" t="s">
        <v>273</v>
      </c>
      <c r="C34" s="3" t="s">
        <v>244</v>
      </c>
      <c r="D34" s="3" t="s">
        <v>229</v>
      </c>
      <c r="E34" s="3" t="s">
        <v>168</v>
      </c>
      <c r="F34" s="3"/>
      <c r="G34" s="3"/>
    </row>
    <row r="35" spans="1:7" ht="27.6">
      <c r="A35" s="3" t="s">
        <v>274</v>
      </c>
      <c r="B35" s="3" t="s">
        <v>275</v>
      </c>
      <c r="C35" s="3" t="s">
        <v>268</v>
      </c>
      <c r="D35" s="3" t="s">
        <v>276</v>
      </c>
      <c r="E35" s="3" t="s">
        <v>168</v>
      </c>
      <c r="F35" s="3"/>
      <c r="G35" s="3"/>
    </row>
    <row r="36" spans="1:7" ht="27.6">
      <c r="A36" s="3" t="s">
        <v>277</v>
      </c>
      <c r="B36" s="3" t="s">
        <v>278</v>
      </c>
      <c r="C36" s="3" t="s">
        <v>196</v>
      </c>
      <c r="D36" s="3" t="s">
        <v>279</v>
      </c>
      <c r="E36" s="3" t="s">
        <v>168</v>
      </c>
      <c r="F36" s="3"/>
      <c r="G36" s="3"/>
    </row>
    <row r="37" spans="1:7" ht="27.6">
      <c r="A37" s="3" t="s">
        <v>280</v>
      </c>
      <c r="B37" s="3" t="s">
        <v>281</v>
      </c>
      <c r="C37" s="3" t="s">
        <v>282</v>
      </c>
      <c r="D37" s="3" t="s">
        <v>186</v>
      </c>
      <c r="E37" s="3" t="s">
        <v>168</v>
      </c>
      <c r="F37" s="3"/>
      <c r="G37" s="3"/>
    </row>
    <row r="38" spans="1:7" ht="27.6">
      <c r="A38" s="3" t="s">
        <v>283</v>
      </c>
      <c r="B38" s="3" t="s">
        <v>284</v>
      </c>
      <c r="C38" s="3" t="s">
        <v>200</v>
      </c>
      <c r="D38" s="3" t="s">
        <v>285</v>
      </c>
      <c r="E38" s="3" t="s">
        <v>168</v>
      </c>
      <c r="F38" s="3"/>
      <c r="G38" s="3"/>
    </row>
    <row r="39" spans="1:7" ht="27.6">
      <c r="A39" s="3" t="s">
        <v>155</v>
      </c>
      <c r="B39" s="3" t="s">
        <v>286</v>
      </c>
      <c r="C39" s="3" t="s">
        <v>287</v>
      </c>
      <c r="D39" s="3" t="s">
        <v>288</v>
      </c>
      <c r="E39" s="3" t="s">
        <v>168</v>
      </c>
      <c r="F39" s="3"/>
      <c r="G39" s="3"/>
    </row>
    <row r="40" spans="1:7" ht="27.6">
      <c r="A40" s="3" t="s">
        <v>289</v>
      </c>
      <c r="B40" s="3" t="s">
        <v>290</v>
      </c>
      <c r="C40" s="3" t="s">
        <v>291</v>
      </c>
      <c r="D40" s="3" t="s">
        <v>178</v>
      </c>
      <c r="E40" s="3" t="s">
        <v>168</v>
      </c>
      <c r="F40" s="3"/>
      <c r="G40" s="3"/>
    </row>
    <row r="41" spans="1:7" ht="27.6">
      <c r="A41" s="3" t="s">
        <v>292</v>
      </c>
      <c r="B41" s="3" t="s">
        <v>293</v>
      </c>
      <c r="C41" s="3" t="s">
        <v>200</v>
      </c>
      <c r="D41" s="3" t="s">
        <v>294</v>
      </c>
      <c r="E41" s="3" t="s">
        <v>168</v>
      </c>
      <c r="F41" s="3"/>
      <c r="G41" s="3"/>
    </row>
    <row r="42" spans="1:7" ht="27.6">
      <c r="A42" s="3" t="s">
        <v>295</v>
      </c>
      <c r="B42" s="3" t="s">
        <v>296</v>
      </c>
      <c r="C42" s="3" t="s">
        <v>244</v>
      </c>
      <c r="D42" s="3" t="s">
        <v>297</v>
      </c>
      <c r="E42" s="3" t="s">
        <v>168</v>
      </c>
      <c r="F42" s="3"/>
      <c r="G42" s="3"/>
    </row>
    <row r="43" spans="1:7" ht="27.6">
      <c r="A43" s="3" t="s">
        <v>298</v>
      </c>
      <c r="B43" s="3" t="s">
        <v>299</v>
      </c>
      <c r="C43" s="3" t="s">
        <v>300</v>
      </c>
      <c r="D43" s="3" t="s">
        <v>186</v>
      </c>
      <c r="E43" s="3" t="s">
        <v>168</v>
      </c>
      <c r="F43" s="3"/>
      <c r="G43" s="3"/>
    </row>
    <row r="44" spans="1:7" ht="27.6">
      <c r="A44" s="3" t="s">
        <v>301</v>
      </c>
      <c r="B44" s="3" t="s">
        <v>302</v>
      </c>
      <c r="C44" s="3" t="s">
        <v>240</v>
      </c>
      <c r="D44" s="3" t="s">
        <v>303</v>
      </c>
      <c r="E44" s="3" t="s">
        <v>168</v>
      </c>
      <c r="F44" s="3"/>
      <c r="G44" s="3"/>
    </row>
    <row r="45" spans="1:7" ht="69">
      <c r="A45" s="3" t="s">
        <v>304</v>
      </c>
      <c r="B45" s="3" t="s">
        <v>305</v>
      </c>
      <c r="C45" s="3" t="s">
        <v>306</v>
      </c>
      <c r="D45" s="3" t="s">
        <v>307</v>
      </c>
      <c r="E45" s="3" t="s">
        <v>168</v>
      </c>
      <c r="F45" s="3"/>
      <c r="G45" s="3"/>
    </row>
    <row r="46" spans="1:7" ht="27.6">
      <c r="A46" s="3" t="s">
        <v>308</v>
      </c>
      <c r="B46" s="3" t="s">
        <v>309</v>
      </c>
      <c r="C46" s="3" t="s">
        <v>217</v>
      </c>
      <c r="D46" s="3" t="s">
        <v>271</v>
      </c>
      <c r="E46" s="3" t="s">
        <v>168</v>
      </c>
      <c r="F46" s="3"/>
      <c r="G46" s="3"/>
    </row>
    <row r="47" spans="1:7" ht="27.6">
      <c r="A47" s="3" t="s">
        <v>310</v>
      </c>
      <c r="B47" s="3" t="s">
        <v>311</v>
      </c>
      <c r="C47" s="3" t="s">
        <v>312</v>
      </c>
      <c r="D47" s="3" t="s">
        <v>178</v>
      </c>
      <c r="E47" s="3" t="s">
        <v>168</v>
      </c>
      <c r="F47" s="3"/>
      <c r="G47" s="3"/>
    </row>
    <row r="48" spans="1:7" ht="27.6">
      <c r="A48" s="3" t="s">
        <v>313</v>
      </c>
      <c r="B48" s="3" t="s">
        <v>314</v>
      </c>
      <c r="C48" s="3" t="s">
        <v>196</v>
      </c>
      <c r="D48" s="3" t="s">
        <v>256</v>
      </c>
      <c r="E48" s="3" t="s">
        <v>168</v>
      </c>
      <c r="F48" s="3"/>
      <c r="G48" s="3"/>
    </row>
    <row r="49" spans="1:7" ht="27.6">
      <c r="A49" s="3" t="s">
        <v>315</v>
      </c>
      <c r="B49" s="3" t="s">
        <v>316</v>
      </c>
      <c r="C49" s="3" t="s">
        <v>317</v>
      </c>
      <c r="D49" s="3" t="s">
        <v>288</v>
      </c>
      <c r="E49" s="3" t="s">
        <v>168</v>
      </c>
      <c r="F49" s="3"/>
      <c r="G49" s="3"/>
    </row>
    <row r="50" spans="1:7" ht="41.4">
      <c r="A50" s="3" t="s">
        <v>318</v>
      </c>
      <c r="B50" s="3" t="s">
        <v>319</v>
      </c>
      <c r="C50" s="3" t="s">
        <v>320</v>
      </c>
      <c r="D50" s="3" t="s">
        <v>178</v>
      </c>
      <c r="E50" s="3" t="s">
        <v>168</v>
      </c>
      <c r="F50" s="3"/>
      <c r="G50" s="3"/>
    </row>
    <row r="51" spans="1:7" ht="55.2">
      <c r="A51" s="3" t="s">
        <v>321</v>
      </c>
      <c r="B51" s="3" t="s">
        <v>322</v>
      </c>
      <c r="C51" s="3" t="s">
        <v>323</v>
      </c>
      <c r="D51" s="3" t="s">
        <v>186</v>
      </c>
      <c r="E51" s="3" t="s">
        <v>168</v>
      </c>
      <c r="F51" s="3"/>
      <c r="G51" s="3"/>
    </row>
    <row r="52" spans="1:7" ht="27.6">
      <c r="A52" s="3" t="s">
        <v>324</v>
      </c>
      <c r="B52" s="3" t="s">
        <v>325</v>
      </c>
      <c r="C52" s="3" t="s">
        <v>262</v>
      </c>
      <c r="D52" s="3" t="s">
        <v>241</v>
      </c>
      <c r="E52" s="3" t="s">
        <v>168</v>
      </c>
      <c r="F52" s="3"/>
      <c r="G52" s="3"/>
    </row>
    <row r="53" spans="1:7" ht="27.6">
      <c r="A53" s="3" t="s">
        <v>326</v>
      </c>
      <c r="B53" s="3" t="s">
        <v>327</v>
      </c>
      <c r="C53" s="3" t="s">
        <v>262</v>
      </c>
      <c r="D53" s="3" t="s">
        <v>279</v>
      </c>
      <c r="E53" s="3" t="s">
        <v>168</v>
      </c>
      <c r="F53" s="3"/>
      <c r="G53" s="3"/>
    </row>
    <row r="54" spans="1:7" ht="27.6">
      <c r="A54" s="3" t="s">
        <v>328</v>
      </c>
      <c r="B54" s="3" t="s">
        <v>329</v>
      </c>
      <c r="C54" s="3" t="s">
        <v>268</v>
      </c>
      <c r="D54" s="3" t="s">
        <v>330</v>
      </c>
      <c r="E54" s="3" t="s">
        <v>168</v>
      </c>
      <c r="F54" s="3"/>
      <c r="G54" s="3"/>
    </row>
    <row r="55" spans="1:7" ht="27.6">
      <c r="A55" s="3" t="s">
        <v>331</v>
      </c>
      <c r="B55" s="3" t="s">
        <v>332</v>
      </c>
      <c r="C55" s="3" t="s">
        <v>232</v>
      </c>
      <c r="D55" s="3" t="s">
        <v>204</v>
      </c>
      <c r="E55" s="3" t="s">
        <v>205</v>
      </c>
      <c r="F55" s="3"/>
      <c r="G55" s="3"/>
    </row>
    <row r="56" spans="1:7" ht="27.6">
      <c r="A56" s="3" t="s">
        <v>333</v>
      </c>
      <c r="B56" s="3" t="s">
        <v>334</v>
      </c>
      <c r="C56" s="3" t="s">
        <v>268</v>
      </c>
      <c r="D56" s="3" t="s">
        <v>303</v>
      </c>
      <c r="E56" s="3" t="s">
        <v>168</v>
      </c>
      <c r="F56" s="3"/>
      <c r="G56" s="3"/>
    </row>
    <row r="57" spans="1:7" ht="27.6">
      <c r="A57" s="3" t="s">
        <v>335</v>
      </c>
      <c r="B57" s="3" t="s">
        <v>336</v>
      </c>
      <c r="C57" s="3" t="s">
        <v>240</v>
      </c>
      <c r="D57" s="3" t="s">
        <v>248</v>
      </c>
      <c r="E57" s="3" t="s">
        <v>168</v>
      </c>
      <c r="F57" s="3"/>
      <c r="G57" s="3"/>
    </row>
    <row r="58" spans="1:7" ht="41.4">
      <c r="A58" s="3" t="s">
        <v>337</v>
      </c>
      <c r="B58" s="3" t="s">
        <v>338</v>
      </c>
      <c r="C58" s="3" t="s">
        <v>339</v>
      </c>
      <c r="D58" s="3" t="s">
        <v>178</v>
      </c>
      <c r="E58" s="3" t="s">
        <v>168</v>
      </c>
      <c r="F58" s="3"/>
      <c r="G58" s="3"/>
    </row>
    <row r="59" spans="1:7" ht="27.6">
      <c r="A59" s="3" t="s">
        <v>340</v>
      </c>
      <c r="B59" s="3" t="s">
        <v>341</v>
      </c>
      <c r="C59" s="3" t="s">
        <v>342</v>
      </c>
      <c r="D59" s="3" t="s">
        <v>204</v>
      </c>
      <c r="E59" s="3" t="s">
        <v>205</v>
      </c>
      <c r="F59" s="3"/>
      <c r="G59" s="3"/>
    </row>
    <row r="60" spans="1:7" ht="27.6">
      <c r="A60" s="3" t="s">
        <v>343</v>
      </c>
      <c r="B60" s="3" t="s">
        <v>344</v>
      </c>
      <c r="C60" s="3" t="s">
        <v>345</v>
      </c>
      <c r="D60" s="3" t="s">
        <v>346</v>
      </c>
      <c r="E60" s="3" t="s">
        <v>168</v>
      </c>
      <c r="F60" s="3"/>
      <c r="G60" s="3"/>
    </row>
    <row r="61" spans="1:7" ht="27.6">
      <c r="A61" s="3" t="s">
        <v>347</v>
      </c>
      <c r="B61" s="3" t="s">
        <v>348</v>
      </c>
      <c r="C61" s="3" t="s">
        <v>268</v>
      </c>
      <c r="D61" s="3" t="s">
        <v>349</v>
      </c>
      <c r="E61" s="3" t="s">
        <v>168</v>
      </c>
      <c r="F61" s="3"/>
      <c r="G61" s="3"/>
    </row>
    <row r="62" spans="1:7" ht="27.6">
      <c r="A62" s="3" t="s">
        <v>350</v>
      </c>
      <c r="B62" s="3" t="s">
        <v>351</v>
      </c>
      <c r="C62" s="3" t="s">
        <v>268</v>
      </c>
      <c r="D62" s="3" t="s">
        <v>197</v>
      </c>
      <c r="E62" s="3" t="s">
        <v>168</v>
      </c>
      <c r="F62" s="3"/>
      <c r="G62" s="3"/>
    </row>
    <row r="63" spans="1:7" ht="27.6">
      <c r="A63" s="3" t="s">
        <v>352</v>
      </c>
      <c r="B63" s="3" t="s">
        <v>353</v>
      </c>
      <c r="C63" s="3" t="s">
        <v>228</v>
      </c>
      <c r="D63" s="3" t="s">
        <v>354</v>
      </c>
      <c r="E63" s="3" t="s">
        <v>168</v>
      </c>
      <c r="F63" s="3"/>
      <c r="G63" s="3"/>
    </row>
    <row r="64" spans="1:7" ht="41.4">
      <c r="A64" s="3" t="s">
        <v>355</v>
      </c>
      <c r="B64" s="3" t="s">
        <v>356</v>
      </c>
      <c r="C64" s="3" t="s">
        <v>357</v>
      </c>
      <c r="D64" s="3" t="s">
        <v>178</v>
      </c>
      <c r="E64" s="3" t="s">
        <v>168</v>
      </c>
      <c r="F64" s="3"/>
      <c r="G64" s="3"/>
    </row>
    <row r="65" spans="1:7" ht="27.6">
      <c r="A65" s="3" t="s">
        <v>358</v>
      </c>
      <c r="B65" s="3" t="s">
        <v>359</v>
      </c>
      <c r="C65" s="3" t="s">
        <v>268</v>
      </c>
      <c r="D65" s="3" t="s">
        <v>360</v>
      </c>
      <c r="E65" s="3" t="s">
        <v>168</v>
      </c>
      <c r="F65" s="3"/>
      <c r="G65" s="3"/>
    </row>
    <row r="66" spans="1:7" ht="27.6">
      <c r="A66" s="3" t="s">
        <v>361</v>
      </c>
      <c r="B66" s="3" t="s">
        <v>362</v>
      </c>
      <c r="C66" s="3" t="s">
        <v>196</v>
      </c>
      <c r="D66" s="3" t="s">
        <v>363</v>
      </c>
      <c r="E66" s="3" t="s">
        <v>168</v>
      </c>
      <c r="F66" s="3"/>
      <c r="G66" s="3"/>
    </row>
    <row r="67" spans="1:7" ht="27.6">
      <c r="A67" s="3" t="s">
        <v>364</v>
      </c>
      <c r="B67" s="3" t="s">
        <v>365</v>
      </c>
      <c r="C67" s="3" t="s">
        <v>240</v>
      </c>
      <c r="D67" s="3" t="s">
        <v>297</v>
      </c>
      <c r="E67" s="3" t="s">
        <v>168</v>
      </c>
      <c r="F67" s="3"/>
      <c r="G67" s="3"/>
    </row>
    <row r="68" spans="1:7" ht="27.6">
      <c r="A68" s="3" t="s">
        <v>366</v>
      </c>
      <c r="B68" s="3" t="s">
        <v>367</v>
      </c>
      <c r="C68" s="3" t="s">
        <v>217</v>
      </c>
      <c r="D68" s="3" t="s">
        <v>297</v>
      </c>
      <c r="E68" s="3" t="s">
        <v>168</v>
      </c>
      <c r="F68" s="3"/>
      <c r="G68" s="3"/>
    </row>
    <row r="69" spans="1:7" ht="27.6">
      <c r="A69" s="3" t="s">
        <v>368</v>
      </c>
      <c r="B69" s="3" t="s">
        <v>369</v>
      </c>
      <c r="C69" s="3" t="s">
        <v>370</v>
      </c>
      <c r="D69" s="3" t="s">
        <v>371</v>
      </c>
      <c r="E69" s="3" t="s">
        <v>168</v>
      </c>
      <c r="F69" s="3"/>
      <c r="G69" s="3"/>
    </row>
    <row r="70" spans="1:7" ht="27.6">
      <c r="A70" s="3" t="s">
        <v>372</v>
      </c>
      <c r="B70" s="3" t="s">
        <v>373</v>
      </c>
      <c r="C70" s="3" t="s">
        <v>196</v>
      </c>
      <c r="D70" s="3" t="s">
        <v>271</v>
      </c>
      <c r="E70" s="3" t="s">
        <v>168</v>
      </c>
      <c r="F70" s="3"/>
      <c r="G70" s="3"/>
    </row>
    <row r="71" spans="1:7" ht="27.6">
      <c r="A71" s="3" t="s">
        <v>374</v>
      </c>
      <c r="B71" s="3" t="s">
        <v>375</v>
      </c>
      <c r="C71" s="3" t="s">
        <v>376</v>
      </c>
      <c r="D71" s="3" t="s">
        <v>288</v>
      </c>
      <c r="E71" s="3" t="s">
        <v>168</v>
      </c>
      <c r="F71" s="3"/>
      <c r="G71" s="3"/>
    </row>
    <row r="72" spans="1:7" ht="27.6">
      <c r="A72" s="3" t="s">
        <v>377</v>
      </c>
      <c r="B72" s="3" t="s">
        <v>378</v>
      </c>
      <c r="C72" s="3" t="s">
        <v>240</v>
      </c>
      <c r="D72" s="3" t="s">
        <v>354</v>
      </c>
      <c r="E72" s="3" t="s">
        <v>168</v>
      </c>
      <c r="F72" s="3"/>
      <c r="G72" s="3"/>
    </row>
    <row r="73" spans="1:7" ht="27.6">
      <c r="A73" s="3" t="s">
        <v>379</v>
      </c>
      <c r="B73" s="3" t="s">
        <v>380</v>
      </c>
      <c r="C73" s="3" t="s">
        <v>189</v>
      </c>
      <c r="D73" s="3" t="s">
        <v>229</v>
      </c>
      <c r="E73" s="3" t="s">
        <v>168</v>
      </c>
      <c r="F73" s="3"/>
      <c r="G73" s="3"/>
    </row>
    <row r="74" spans="1:7" ht="27.6">
      <c r="A74" s="3" t="s">
        <v>381</v>
      </c>
      <c r="B74" s="3" t="s">
        <v>382</v>
      </c>
      <c r="C74" s="3" t="s">
        <v>383</v>
      </c>
      <c r="D74" s="3" t="s">
        <v>245</v>
      </c>
      <c r="E74" s="3" t="s">
        <v>168</v>
      </c>
      <c r="F74" s="3"/>
      <c r="G74" s="3"/>
    </row>
    <row r="75" spans="1:7" ht="27.6">
      <c r="A75" s="3" t="s">
        <v>384</v>
      </c>
      <c r="B75" s="3" t="s">
        <v>385</v>
      </c>
      <c r="C75" s="3" t="s">
        <v>386</v>
      </c>
      <c r="D75" s="3" t="s">
        <v>204</v>
      </c>
      <c r="E75" s="3" t="s">
        <v>168</v>
      </c>
      <c r="F75" s="3"/>
      <c r="G75" s="3"/>
    </row>
    <row r="76" spans="1:7" ht="27.6">
      <c r="A76" s="3" t="s">
        <v>387</v>
      </c>
      <c r="B76" s="3" t="s">
        <v>388</v>
      </c>
      <c r="C76" s="3" t="s">
        <v>172</v>
      </c>
      <c r="D76" s="3" t="s">
        <v>346</v>
      </c>
      <c r="E76" s="3" t="s">
        <v>168</v>
      </c>
      <c r="F76" s="3"/>
      <c r="G76" s="3"/>
    </row>
    <row r="77" spans="1:7" ht="27.6">
      <c r="A77" s="3" t="s">
        <v>389</v>
      </c>
      <c r="B77" s="3" t="s">
        <v>390</v>
      </c>
      <c r="C77" s="3" t="s">
        <v>244</v>
      </c>
      <c r="D77" s="3" t="s">
        <v>371</v>
      </c>
      <c r="E77" s="3" t="s">
        <v>168</v>
      </c>
      <c r="F77" s="3"/>
      <c r="G77" s="3"/>
    </row>
    <row r="78" spans="1:7" ht="27.6">
      <c r="A78" s="3" t="s">
        <v>391</v>
      </c>
      <c r="B78" s="3" t="s">
        <v>392</v>
      </c>
      <c r="C78" s="3" t="s">
        <v>342</v>
      </c>
      <c r="D78" s="3" t="s">
        <v>186</v>
      </c>
      <c r="E78" s="3" t="s">
        <v>168</v>
      </c>
      <c r="F78" s="3"/>
      <c r="G78" s="3"/>
    </row>
    <row r="79" spans="1:7" ht="27.6">
      <c r="A79" s="3" t="s">
        <v>393</v>
      </c>
      <c r="B79" s="3" t="s">
        <v>394</v>
      </c>
      <c r="C79" s="3" t="s">
        <v>268</v>
      </c>
      <c r="D79" s="3" t="s">
        <v>190</v>
      </c>
      <c r="E79" s="3" t="s">
        <v>168</v>
      </c>
      <c r="F79" s="3"/>
      <c r="G79" s="3"/>
    </row>
    <row r="80" spans="1:7" ht="55.2">
      <c r="A80" s="3" t="s">
        <v>395</v>
      </c>
      <c r="B80" s="3" t="s">
        <v>396</v>
      </c>
      <c r="C80" s="3" t="s">
        <v>397</v>
      </c>
      <c r="D80" s="3" t="s">
        <v>303</v>
      </c>
      <c r="E80" s="3" t="s">
        <v>168</v>
      </c>
      <c r="F80" s="3"/>
      <c r="G80" s="3"/>
    </row>
    <row r="81" spans="1:7" ht="27.6">
      <c r="A81" s="3" t="s">
        <v>398</v>
      </c>
      <c r="B81" s="3" t="s">
        <v>399</v>
      </c>
      <c r="C81" s="3" t="s">
        <v>172</v>
      </c>
      <c r="D81" s="3" t="s">
        <v>197</v>
      </c>
      <c r="E81" s="3" t="s">
        <v>168</v>
      </c>
      <c r="F81" s="3"/>
      <c r="G81" s="3"/>
    </row>
    <row r="82" spans="1:7" ht="27.6">
      <c r="A82" s="3" t="s">
        <v>152</v>
      </c>
      <c r="B82" s="3" t="s">
        <v>400</v>
      </c>
      <c r="C82" s="3" t="s">
        <v>401</v>
      </c>
      <c r="D82" s="3" t="s">
        <v>303</v>
      </c>
      <c r="E82" s="3" t="s">
        <v>168</v>
      </c>
      <c r="F82" s="3"/>
      <c r="G82" s="3"/>
    </row>
    <row r="83" spans="1:7" ht="27.6">
      <c r="A83" s="3" t="s">
        <v>402</v>
      </c>
      <c r="B83" s="3" t="s">
        <v>403</v>
      </c>
      <c r="C83" s="3" t="s">
        <v>200</v>
      </c>
      <c r="D83" s="3" t="s">
        <v>360</v>
      </c>
      <c r="E83" s="3" t="s">
        <v>168</v>
      </c>
      <c r="F83" s="3"/>
      <c r="G83" s="3"/>
    </row>
    <row r="84" spans="1:7" ht="69">
      <c r="A84" s="3" t="s">
        <v>404</v>
      </c>
      <c r="B84" s="3" t="s">
        <v>405</v>
      </c>
      <c r="C84" s="3" t="s">
        <v>406</v>
      </c>
      <c r="D84" s="3" t="s">
        <v>186</v>
      </c>
      <c r="E84" s="3" t="s">
        <v>168</v>
      </c>
      <c r="F84" s="3"/>
      <c r="G84" s="3"/>
    </row>
    <row r="85" spans="1:7" ht="27.6">
      <c r="A85" s="3" t="s">
        <v>407</v>
      </c>
      <c r="B85" s="3" t="s">
        <v>408</v>
      </c>
      <c r="C85" s="3" t="s">
        <v>409</v>
      </c>
      <c r="D85" s="3" t="s">
        <v>204</v>
      </c>
      <c r="E85" s="3" t="s">
        <v>205</v>
      </c>
      <c r="F85" s="3"/>
      <c r="G85" s="3"/>
    </row>
    <row r="86" spans="1:7" ht="27.6">
      <c r="A86" s="3" t="s">
        <v>410</v>
      </c>
      <c r="B86" s="3" t="s">
        <v>411</v>
      </c>
      <c r="C86" s="3" t="s">
        <v>268</v>
      </c>
      <c r="D86" s="3" t="s">
        <v>354</v>
      </c>
      <c r="E86" s="3" t="s">
        <v>168</v>
      </c>
      <c r="F86" s="3"/>
      <c r="G86" s="3"/>
    </row>
    <row r="87" spans="1:7" ht="27.6">
      <c r="A87" s="3" t="s">
        <v>412</v>
      </c>
      <c r="B87" s="3" t="s">
        <v>413</v>
      </c>
      <c r="C87" s="3" t="s">
        <v>196</v>
      </c>
      <c r="D87" s="3" t="s">
        <v>346</v>
      </c>
      <c r="E87" s="3" t="s">
        <v>168</v>
      </c>
      <c r="F87" s="3"/>
      <c r="G87" s="3"/>
    </row>
    <row r="88" spans="1:7" ht="27.6">
      <c r="A88" s="3" t="s">
        <v>414</v>
      </c>
      <c r="B88" s="3" t="s">
        <v>415</v>
      </c>
      <c r="C88" s="3" t="s">
        <v>240</v>
      </c>
      <c r="D88" s="3" t="s">
        <v>271</v>
      </c>
      <c r="E88" s="3" t="s">
        <v>168</v>
      </c>
      <c r="F88" s="3"/>
      <c r="G88" s="3"/>
    </row>
    <row r="89" spans="1:7" ht="27.6">
      <c r="A89" s="3" t="s">
        <v>416</v>
      </c>
      <c r="B89" s="3" t="s">
        <v>417</v>
      </c>
      <c r="C89" s="3" t="s">
        <v>345</v>
      </c>
      <c r="D89" s="3" t="s">
        <v>303</v>
      </c>
      <c r="E89" s="3" t="s">
        <v>168</v>
      </c>
      <c r="F89" s="3"/>
      <c r="G89" s="3"/>
    </row>
    <row r="90" spans="1:7" ht="27.6">
      <c r="A90" s="3" t="s">
        <v>418</v>
      </c>
      <c r="B90" s="3" t="s">
        <v>419</v>
      </c>
      <c r="C90" s="3" t="s">
        <v>240</v>
      </c>
      <c r="D90" s="3" t="s">
        <v>420</v>
      </c>
      <c r="E90" s="3" t="s">
        <v>168</v>
      </c>
      <c r="F90" s="3"/>
      <c r="G90" s="3"/>
    </row>
    <row r="91" spans="1:7" ht="27.6">
      <c r="A91" s="3" t="s">
        <v>421</v>
      </c>
      <c r="B91" s="3" t="s">
        <v>422</v>
      </c>
      <c r="C91" s="3" t="s">
        <v>217</v>
      </c>
      <c r="D91" s="3" t="s">
        <v>303</v>
      </c>
      <c r="E91" s="3" t="s">
        <v>168</v>
      </c>
      <c r="F91" s="3"/>
      <c r="G91" s="3"/>
    </row>
    <row r="92" spans="1:7" ht="41.4">
      <c r="A92" s="3" t="s">
        <v>423</v>
      </c>
      <c r="B92" s="3" t="s">
        <v>424</v>
      </c>
      <c r="C92" s="3" t="s">
        <v>425</v>
      </c>
      <c r="D92" s="3" t="s">
        <v>204</v>
      </c>
      <c r="E92" s="3" t="s">
        <v>168</v>
      </c>
      <c r="F92" s="3"/>
      <c r="G92" s="3"/>
    </row>
    <row r="93" spans="1:7" ht="27.6">
      <c r="A93" s="3" t="s">
        <v>426</v>
      </c>
      <c r="B93" s="3" t="s">
        <v>427</v>
      </c>
      <c r="C93" s="3" t="s">
        <v>428</v>
      </c>
      <c r="D93" s="3" t="s">
        <v>288</v>
      </c>
      <c r="E93" s="3" t="s">
        <v>168</v>
      </c>
      <c r="F93" s="3"/>
      <c r="G93" s="3"/>
    </row>
    <row r="94" spans="1:7" ht="27.6">
      <c r="A94" s="3" t="s">
        <v>429</v>
      </c>
      <c r="B94" s="3" t="s">
        <v>430</v>
      </c>
      <c r="C94" s="3" t="s">
        <v>200</v>
      </c>
      <c r="D94" s="3" t="s">
        <v>431</v>
      </c>
      <c r="E94" s="3" t="s">
        <v>168</v>
      </c>
      <c r="F94" s="3"/>
      <c r="G94" s="3"/>
    </row>
    <row r="95" spans="1:7" ht="27.6">
      <c r="A95" s="3" t="s">
        <v>432</v>
      </c>
      <c r="B95" s="3" t="s">
        <v>433</v>
      </c>
      <c r="C95" s="3" t="s">
        <v>240</v>
      </c>
      <c r="D95" s="3" t="s">
        <v>330</v>
      </c>
      <c r="E95" s="3" t="s">
        <v>168</v>
      </c>
      <c r="F95" s="3"/>
      <c r="G95" s="3"/>
    </row>
    <row r="96" spans="1:7" ht="27.6">
      <c r="A96" s="3" t="s">
        <v>434</v>
      </c>
      <c r="B96" s="3" t="s">
        <v>435</v>
      </c>
      <c r="C96" s="3" t="s">
        <v>345</v>
      </c>
      <c r="D96" s="3" t="s">
        <v>363</v>
      </c>
      <c r="E96" s="3" t="s">
        <v>168</v>
      </c>
      <c r="F96" s="3"/>
      <c r="G96" s="3"/>
    </row>
    <row r="97" spans="1:7" ht="27.6">
      <c r="A97" s="3" t="s">
        <v>436</v>
      </c>
      <c r="B97" s="3" t="s">
        <v>437</v>
      </c>
      <c r="C97" s="3" t="s">
        <v>438</v>
      </c>
      <c r="D97" s="3" t="s">
        <v>186</v>
      </c>
      <c r="E97" s="3" t="s">
        <v>168</v>
      </c>
      <c r="F97" s="3"/>
      <c r="G97" s="3"/>
    </row>
    <row r="98" spans="1:7" ht="27.6">
      <c r="A98" s="3" t="s">
        <v>439</v>
      </c>
      <c r="B98" s="3" t="s">
        <v>440</v>
      </c>
      <c r="C98" s="3" t="s">
        <v>228</v>
      </c>
      <c r="D98" s="3" t="s">
        <v>349</v>
      </c>
      <c r="E98" s="3" t="s">
        <v>168</v>
      </c>
      <c r="F98" s="3"/>
      <c r="G98" s="3"/>
    </row>
    <row r="99" spans="1:7" ht="27.6">
      <c r="A99" s="3" t="s">
        <v>441</v>
      </c>
      <c r="B99" s="3" t="s">
        <v>442</v>
      </c>
      <c r="C99" s="3" t="s">
        <v>268</v>
      </c>
      <c r="D99" s="3" t="s">
        <v>420</v>
      </c>
      <c r="E99" s="3" t="s">
        <v>168</v>
      </c>
      <c r="F99" s="3"/>
      <c r="G99" s="3"/>
    </row>
    <row r="100" spans="1:7" ht="27.6">
      <c r="A100" s="3" t="s">
        <v>443</v>
      </c>
      <c r="B100" s="3" t="s">
        <v>444</v>
      </c>
      <c r="C100" s="3" t="s">
        <v>445</v>
      </c>
      <c r="D100" s="3" t="s">
        <v>204</v>
      </c>
      <c r="E100" s="3" t="s">
        <v>205</v>
      </c>
      <c r="F100" s="3"/>
      <c r="G100" s="3"/>
    </row>
    <row r="101" spans="1:7" ht="27.6">
      <c r="A101" s="3" t="s">
        <v>446</v>
      </c>
      <c r="B101" s="3" t="s">
        <v>447</v>
      </c>
      <c r="C101" s="3" t="s">
        <v>448</v>
      </c>
      <c r="D101" s="3" t="s">
        <v>178</v>
      </c>
      <c r="E101" s="3" t="s">
        <v>168</v>
      </c>
      <c r="F101" s="3"/>
      <c r="G101" s="3"/>
    </row>
    <row r="102" spans="1:7" ht="27.6">
      <c r="A102" s="3" t="s">
        <v>449</v>
      </c>
      <c r="B102" s="3" t="s">
        <v>450</v>
      </c>
      <c r="C102" s="3" t="s">
        <v>451</v>
      </c>
      <c r="D102" s="3" t="s">
        <v>178</v>
      </c>
      <c r="E102" s="3" t="s">
        <v>168</v>
      </c>
      <c r="F102" s="3"/>
      <c r="G102" s="3"/>
    </row>
    <row r="103" spans="1:7" ht="27.6">
      <c r="A103" s="3" t="s">
        <v>452</v>
      </c>
      <c r="B103" s="3" t="s">
        <v>453</v>
      </c>
      <c r="C103" s="3" t="s">
        <v>454</v>
      </c>
      <c r="D103" s="3" t="s">
        <v>178</v>
      </c>
      <c r="E103" s="3" t="s">
        <v>168</v>
      </c>
      <c r="F103" s="3"/>
      <c r="G103" s="3"/>
    </row>
    <row r="104" spans="1:7" ht="27.6">
      <c r="A104" s="3" t="s">
        <v>455</v>
      </c>
      <c r="B104" s="3" t="s">
        <v>456</v>
      </c>
      <c r="C104" s="3" t="s">
        <v>457</v>
      </c>
      <c r="D104" s="3" t="s">
        <v>178</v>
      </c>
      <c r="E104" s="3" t="s">
        <v>168</v>
      </c>
      <c r="F104" s="3"/>
      <c r="G104" s="3"/>
    </row>
    <row r="105" spans="1:7" ht="27.6">
      <c r="A105" s="3" t="s">
        <v>458</v>
      </c>
      <c r="B105" s="3" t="s">
        <v>459</v>
      </c>
      <c r="C105" s="3" t="s">
        <v>460</v>
      </c>
      <c r="D105" s="3" t="s">
        <v>178</v>
      </c>
      <c r="E105" s="3" t="s">
        <v>168</v>
      </c>
      <c r="F105" s="3"/>
      <c r="G105" s="3"/>
    </row>
    <row r="106" spans="1:7" ht="27.6">
      <c r="A106" s="3" t="s">
        <v>461</v>
      </c>
      <c r="B106" s="3" t="s">
        <v>462</v>
      </c>
      <c r="C106" s="3" t="s">
        <v>463</v>
      </c>
      <c r="D106" s="3" t="s">
        <v>178</v>
      </c>
      <c r="E106" s="3" t="s">
        <v>168</v>
      </c>
      <c r="F106" s="3"/>
      <c r="G106" s="3"/>
    </row>
    <row r="107" spans="1:7" ht="41.4">
      <c r="A107" s="3" t="s">
        <v>464</v>
      </c>
      <c r="B107" s="3" t="s">
        <v>465</v>
      </c>
      <c r="C107" s="3" t="s">
        <v>466</v>
      </c>
      <c r="D107" s="3" t="s">
        <v>178</v>
      </c>
      <c r="E107" s="3" t="s">
        <v>168</v>
      </c>
      <c r="F107" s="3"/>
      <c r="G107" s="3"/>
    </row>
    <row r="108" spans="1:7" ht="27.6">
      <c r="A108" s="3" t="s">
        <v>467</v>
      </c>
      <c r="B108" s="3" t="s">
        <v>468</v>
      </c>
      <c r="C108" s="3" t="s">
        <v>189</v>
      </c>
      <c r="D108" s="3" t="s">
        <v>469</v>
      </c>
      <c r="E108" s="3" t="s">
        <v>168</v>
      </c>
      <c r="F108" s="3"/>
      <c r="G108" s="3"/>
    </row>
    <row r="109" spans="1:7" ht="55.2">
      <c r="A109" s="3" t="s">
        <v>470</v>
      </c>
      <c r="B109" s="3" t="s">
        <v>471</v>
      </c>
      <c r="C109" s="3" t="s">
        <v>472</v>
      </c>
      <c r="D109" s="3" t="s">
        <v>178</v>
      </c>
      <c r="E109" s="3" t="s">
        <v>168</v>
      </c>
      <c r="F109" s="3"/>
      <c r="G109" s="3"/>
    </row>
    <row r="110" spans="1:7" ht="27.6">
      <c r="A110" s="3" t="s">
        <v>473</v>
      </c>
      <c r="B110" s="3" t="s">
        <v>474</v>
      </c>
      <c r="C110" s="3" t="s">
        <v>200</v>
      </c>
      <c r="D110" s="3" t="s">
        <v>475</v>
      </c>
      <c r="E110" s="3" t="s">
        <v>168</v>
      </c>
      <c r="F110" s="3"/>
      <c r="G110" s="3"/>
    </row>
    <row r="111" spans="1:7" ht="41.4">
      <c r="A111" s="3" t="s">
        <v>476</v>
      </c>
      <c r="B111" s="3" t="s">
        <v>477</v>
      </c>
      <c r="C111" s="3" t="s">
        <v>478</v>
      </c>
      <c r="D111" s="3" t="s">
        <v>178</v>
      </c>
      <c r="E111" s="3" t="s">
        <v>168</v>
      </c>
      <c r="F111" s="3"/>
      <c r="G111" s="3"/>
    </row>
    <row r="112" spans="1:7" ht="27.6">
      <c r="A112" s="3" t="s">
        <v>479</v>
      </c>
      <c r="B112" s="3" t="s">
        <v>480</v>
      </c>
      <c r="C112" s="3" t="s">
        <v>172</v>
      </c>
      <c r="D112" s="3" t="s">
        <v>279</v>
      </c>
      <c r="E112" s="3" t="s">
        <v>168</v>
      </c>
      <c r="F112" s="3"/>
      <c r="G112" s="3"/>
    </row>
    <row r="113" spans="1:7" ht="27.6">
      <c r="A113" s="3" t="s">
        <v>481</v>
      </c>
      <c r="B113" s="3" t="s">
        <v>482</v>
      </c>
      <c r="C113" s="3" t="s">
        <v>483</v>
      </c>
      <c r="D113" s="3" t="s">
        <v>307</v>
      </c>
      <c r="E113" s="3" t="s">
        <v>168</v>
      </c>
      <c r="F113" s="3"/>
      <c r="G113" s="3"/>
    </row>
    <row r="114" spans="1:7" ht="41.4">
      <c r="A114" s="3" t="s">
        <v>484</v>
      </c>
      <c r="B114" s="3" t="s">
        <v>485</v>
      </c>
      <c r="C114" s="3" t="s">
        <v>486</v>
      </c>
      <c r="D114" s="3" t="s">
        <v>178</v>
      </c>
      <c r="E114" s="3" t="s">
        <v>168</v>
      </c>
      <c r="F114" s="3"/>
      <c r="G114" s="3"/>
    </row>
    <row r="115" spans="1:7" ht="27.6">
      <c r="A115" s="3" t="s">
        <v>487</v>
      </c>
      <c r="B115" s="3" t="s">
        <v>488</v>
      </c>
      <c r="C115" s="3" t="s">
        <v>268</v>
      </c>
      <c r="D115" s="3" t="s">
        <v>285</v>
      </c>
      <c r="E115" s="3" t="s">
        <v>168</v>
      </c>
      <c r="F115" s="3"/>
      <c r="G115" s="3"/>
    </row>
    <row r="116" spans="1:7" ht="27.6">
      <c r="A116" s="3" t="s">
        <v>489</v>
      </c>
      <c r="B116" s="3" t="s">
        <v>490</v>
      </c>
      <c r="C116" s="3" t="s">
        <v>491</v>
      </c>
      <c r="D116" s="3" t="s">
        <v>178</v>
      </c>
      <c r="E116" s="3" t="s">
        <v>168</v>
      </c>
      <c r="F116" s="3"/>
      <c r="G116" s="3"/>
    </row>
    <row r="117" spans="1:7" ht="27.6">
      <c r="A117" s="3" t="s">
        <v>492</v>
      </c>
      <c r="B117" s="3" t="s">
        <v>493</v>
      </c>
      <c r="C117" s="3" t="s">
        <v>494</v>
      </c>
      <c r="D117" s="3" t="s">
        <v>186</v>
      </c>
      <c r="E117" s="3" t="s">
        <v>168</v>
      </c>
      <c r="F117" s="3"/>
      <c r="G117" s="3"/>
    </row>
    <row r="118" spans="1:7" ht="27.6">
      <c r="A118" s="3" t="s">
        <v>495</v>
      </c>
      <c r="B118" s="3" t="s">
        <v>496</v>
      </c>
      <c r="C118" s="3" t="s">
        <v>172</v>
      </c>
      <c r="D118" s="3" t="s">
        <v>354</v>
      </c>
      <c r="E118" s="3" t="s">
        <v>168</v>
      </c>
      <c r="F118" s="3"/>
      <c r="G118" s="3"/>
    </row>
    <row r="119" spans="1:7" ht="27.6">
      <c r="A119" s="3" t="s">
        <v>497</v>
      </c>
      <c r="B119" s="3" t="s">
        <v>498</v>
      </c>
      <c r="C119" s="3" t="s">
        <v>345</v>
      </c>
      <c r="D119" s="3" t="s">
        <v>178</v>
      </c>
      <c r="E119" s="3" t="s">
        <v>168</v>
      </c>
      <c r="F119" s="3"/>
      <c r="G119" s="3"/>
    </row>
    <row r="120" spans="1:7" ht="27.6">
      <c r="A120" s="3" t="s">
        <v>499</v>
      </c>
      <c r="B120" s="3" t="s">
        <v>500</v>
      </c>
      <c r="C120" s="3" t="s">
        <v>262</v>
      </c>
      <c r="D120" s="3" t="s">
        <v>469</v>
      </c>
      <c r="E120" s="3" t="s">
        <v>168</v>
      </c>
      <c r="F120" s="3"/>
      <c r="G120" s="3"/>
    </row>
    <row r="121" spans="1:7" ht="27.6">
      <c r="A121" s="3" t="s">
        <v>501</v>
      </c>
      <c r="B121" s="3" t="s">
        <v>502</v>
      </c>
      <c r="C121" s="3" t="s">
        <v>189</v>
      </c>
      <c r="D121" s="3" t="s">
        <v>371</v>
      </c>
      <c r="E121" s="3" t="s">
        <v>168</v>
      </c>
      <c r="F121" s="3"/>
      <c r="G121" s="3"/>
    </row>
    <row r="122" spans="1:7" ht="27.6">
      <c r="A122" s="3" t="s">
        <v>503</v>
      </c>
      <c r="B122" s="3" t="s">
        <v>504</v>
      </c>
      <c r="C122" s="3" t="s">
        <v>505</v>
      </c>
      <c r="D122" s="3" t="s">
        <v>186</v>
      </c>
      <c r="E122" s="3" t="s">
        <v>168</v>
      </c>
      <c r="F122" s="3"/>
      <c r="G122" s="3"/>
    </row>
    <row r="123" spans="1:7" ht="27.6">
      <c r="A123" s="3" t="s">
        <v>506</v>
      </c>
      <c r="B123" s="3" t="s">
        <v>507</v>
      </c>
      <c r="C123" s="3" t="s">
        <v>508</v>
      </c>
      <c r="D123" s="3" t="s">
        <v>178</v>
      </c>
      <c r="E123" s="3" t="s">
        <v>168</v>
      </c>
      <c r="F123" s="3"/>
      <c r="G123" s="3"/>
    </row>
    <row r="124" spans="1:7" ht="27.6">
      <c r="A124" s="3" t="s">
        <v>509</v>
      </c>
      <c r="B124" s="3" t="s">
        <v>510</v>
      </c>
      <c r="C124" s="3" t="s">
        <v>244</v>
      </c>
      <c r="D124" s="3" t="s">
        <v>193</v>
      </c>
      <c r="E124" s="3" t="s">
        <v>168</v>
      </c>
      <c r="F124" s="3"/>
      <c r="G124" s="3"/>
    </row>
    <row r="125" spans="1:7" ht="27.6">
      <c r="A125" s="3" t="s">
        <v>511</v>
      </c>
      <c r="B125" s="3" t="s">
        <v>512</v>
      </c>
      <c r="C125" s="3" t="s">
        <v>513</v>
      </c>
      <c r="D125" s="3" t="s">
        <v>186</v>
      </c>
      <c r="E125" s="3" t="s">
        <v>168</v>
      </c>
      <c r="F125" s="3"/>
      <c r="G125" s="3"/>
    </row>
    <row r="126" spans="1:7" ht="27.6">
      <c r="A126" s="3" t="s">
        <v>514</v>
      </c>
      <c r="B126" s="3" t="s">
        <v>515</v>
      </c>
      <c r="C126" s="3" t="s">
        <v>516</v>
      </c>
      <c r="D126" s="3" t="s">
        <v>354</v>
      </c>
      <c r="E126" s="3" t="s">
        <v>168</v>
      </c>
      <c r="F126" s="3"/>
      <c r="G126" s="3"/>
    </row>
    <row r="127" spans="1:7" ht="55.2">
      <c r="A127" s="3" t="s">
        <v>517</v>
      </c>
      <c r="B127" s="3" t="s">
        <v>518</v>
      </c>
      <c r="C127" s="3" t="s">
        <v>519</v>
      </c>
      <c r="D127" s="3" t="s">
        <v>178</v>
      </c>
      <c r="E127" s="3" t="s">
        <v>168</v>
      </c>
      <c r="F127" s="3"/>
      <c r="G127" s="3"/>
    </row>
    <row r="128" spans="1:7" ht="27.6">
      <c r="A128" s="3" t="s">
        <v>520</v>
      </c>
      <c r="B128" s="3" t="s">
        <v>521</v>
      </c>
      <c r="C128" s="3" t="s">
        <v>189</v>
      </c>
      <c r="D128" s="3" t="s">
        <v>349</v>
      </c>
      <c r="E128" s="3" t="s">
        <v>168</v>
      </c>
      <c r="F128" s="3"/>
      <c r="G128" s="3"/>
    </row>
    <row r="129" spans="1:7" ht="27.6">
      <c r="A129" s="3" t="s">
        <v>522</v>
      </c>
      <c r="B129" s="3" t="s">
        <v>523</v>
      </c>
      <c r="C129" s="3" t="s">
        <v>244</v>
      </c>
      <c r="D129" s="3" t="s">
        <v>173</v>
      </c>
      <c r="E129" s="3" t="s">
        <v>168</v>
      </c>
      <c r="F129" s="3"/>
      <c r="G129" s="3"/>
    </row>
    <row r="130" spans="1:7" ht="27.6">
      <c r="A130" s="3" t="s">
        <v>524</v>
      </c>
      <c r="B130" s="3" t="s">
        <v>525</v>
      </c>
      <c r="C130" s="3" t="s">
        <v>189</v>
      </c>
      <c r="D130" s="3" t="s">
        <v>294</v>
      </c>
      <c r="E130" s="3" t="s">
        <v>168</v>
      </c>
      <c r="F130" s="3"/>
      <c r="G130" s="3"/>
    </row>
    <row r="131" spans="1:7" ht="27.6">
      <c r="A131" s="3" t="s">
        <v>526</v>
      </c>
      <c r="B131" s="3" t="s">
        <v>527</v>
      </c>
      <c r="C131" s="3" t="s">
        <v>189</v>
      </c>
      <c r="D131" s="3" t="s">
        <v>303</v>
      </c>
      <c r="E131" s="3" t="s">
        <v>168</v>
      </c>
      <c r="F131" s="3"/>
      <c r="G131" s="3"/>
    </row>
    <row r="132" spans="1:7" ht="27.6">
      <c r="A132" s="3" t="s">
        <v>528</v>
      </c>
      <c r="B132" s="3" t="s">
        <v>529</v>
      </c>
      <c r="C132" s="3" t="s">
        <v>228</v>
      </c>
      <c r="D132" s="3" t="s">
        <v>303</v>
      </c>
      <c r="E132" s="3" t="s">
        <v>168</v>
      </c>
      <c r="F132" s="3"/>
      <c r="G132" s="3"/>
    </row>
    <row r="133" spans="1:7" ht="27.6">
      <c r="A133" s="3" t="s">
        <v>530</v>
      </c>
      <c r="B133" s="3" t="s">
        <v>531</v>
      </c>
      <c r="C133" s="3" t="s">
        <v>516</v>
      </c>
      <c r="D133" s="3" t="s">
        <v>349</v>
      </c>
      <c r="E133" s="3" t="s">
        <v>168</v>
      </c>
      <c r="F133" s="3"/>
      <c r="G133" s="3"/>
    </row>
    <row r="134" spans="1:7" ht="27.6">
      <c r="A134" s="3" t="s">
        <v>532</v>
      </c>
      <c r="B134" s="3" t="s">
        <v>533</v>
      </c>
      <c r="C134" s="3" t="s">
        <v>228</v>
      </c>
      <c r="D134" s="3" t="s">
        <v>190</v>
      </c>
      <c r="E134" s="3" t="s">
        <v>168</v>
      </c>
      <c r="F134" s="3"/>
      <c r="G134" s="3"/>
    </row>
    <row r="135" spans="1:7" ht="27.6">
      <c r="A135" s="3" t="s">
        <v>534</v>
      </c>
      <c r="B135" s="3" t="s">
        <v>535</v>
      </c>
      <c r="C135" s="3" t="s">
        <v>262</v>
      </c>
      <c r="D135" s="3" t="s">
        <v>360</v>
      </c>
      <c r="E135" s="3" t="s">
        <v>168</v>
      </c>
      <c r="F135" s="3"/>
      <c r="G135" s="3"/>
    </row>
    <row r="136" spans="1:7" ht="27.6">
      <c r="A136" s="3" t="s">
        <v>536</v>
      </c>
      <c r="B136" s="3" t="s">
        <v>537</v>
      </c>
      <c r="C136" s="3" t="s">
        <v>200</v>
      </c>
      <c r="D136" s="3" t="s">
        <v>245</v>
      </c>
      <c r="E136" s="3" t="s">
        <v>168</v>
      </c>
      <c r="F136" s="3"/>
      <c r="G136" s="3"/>
    </row>
    <row r="137" spans="1:7" ht="27.6">
      <c r="A137" s="3" t="s">
        <v>538</v>
      </c>
      <c r="B137" s="3" t="s">
        <v>539</v>
      </c>
      <c r="C137" s="3" t="s">
        <v>540</v>
      </c>
      <c r="D137" s="3" t="s">
        <v>178</v>
      </c>
      <c r="E137" s="3" t="s">
        <v>168</v>
      </c>
      <c r="F137" s="3"/>
      <c r="G137" s="3"/>
    </row>
    <row r="138" spans="1:7" ht="27.6">
      <c r="A138" s="3" t="s">
        <v>541</v>
      </c>
      <c r="B138" s="3" t="s">
        <v>542</v>
      </c>
      <c r="C138" s="3" t="s">
        <v>543</v>
      </c>
      <c r="D138" s="3" t="s">
        <v>178</v>
      </c>
      <c r="E138" s="3" t="s">
        <v>168</v>
      </c>
      <c r="F138" s="3"/>
      <c r="G138" s="3"/>
    </row>
    <row r="139" spans="1:7" ht="27.6">
      <c r="A139" s="3" t="s">
        <v>544</v>
      </c>
      <c r="B139" s="3" t="s">
        <v>545</v>
      </c>
      <c r="C139" s="3" t="s">
        <v>240</v>
      </c>
      <c r="D139" s="3" t="s">
        <v>285</v>
      </c>
      <c r="E139" s="3" t="s">
        <v>168</v>
      </c>
      <c r="F139" s="3"/>
      <c r="G139" s="3"/>
    </row>
    <row r="140" spans="1:7" ht="27.6">
      <c r="A140" s="3" t="s">
        <v>546</v>
      </c>
      <c r="B140" s="3" t="s">
        <v>547</v>
      </c>
      <c r="C140" s="3" t="s">
        <v>200</v>
      </c>
      <c r="D140" s="3" t="s">
        <v>469</v>
      </c>
      <c r="E140" s="3" t="s">
        <v>168</v>
      </c>
      <c r="F140" s="3"/>
      <c r="G140" s="3"/>
    </row>
    <row r="141" spans="1:7" ht="27.6">
      <c r="A141" s="3" t="s">
        <v>548</v>
      </c>
      <c r="B141" s="3" t="s">
        <v>549</v>
      </c>
      <c r="C141" s="3" t="s">
        <v>217</v>
      </c>
      <c r="D141" s="3" t="s">
        <v>354</v>
      </c>
      <c r="E141" s="3" t="s">
        <v>168</v>
      </c>
      <c r="F141" s="3"/>
      <c r="G141" s="3"/>
    </row>
    <row r="142" spans="1:7" ht="27.6">
      <c r="A142" s="3" t="s">
        <v>550</v>
      </c>
      <c r="B142" s="3" t="s">
        <v>551</v>
      </c>
      <c r="C142" s="3" t="s">
        <v>172</v>
      </c>
      <c r="D142" s="3" t="s">
        <v>285</v>
      </c>
      <c r="E142" s="3" t="s">
        <v>168</v>
      </c>
      <c r="F142" s="3"/>
      <c r="G142" s="3"/>
    </row>
    <row r="143" spans="1:7" ht="27.6">
      <c r="A143" s="3" t="s">
        <v>552</v>
      </c>
      <c r="B143" s="3" t="s">
        <v>553</v>
      </c>
      <c r="C143" s="3" t="s">
        <v>554</v>
      </c>
      <c r="D143" s="3" t="s">
        <v>178</v>
      </c>
      <c r="E143" s="3" t="s">
        <v>168</v>
      </c>
      <c r="F143" s="3"/>
      <c r="G143" s="3"/>
    </row>
    <row r="144" spans="1:7" ht="41.4">
      <c r="A144" s="3" t="s">
        <v>555</v>
      </c>
      <c r="B144" s="3" t="s">
        <v>556</v>
      </c>
      <c r="C144" s="3" t="s">
        <v>557</v>
      </c>
      <c r="D144" s="3" t="s">
        <v>178</v>
      </c>
      <c r="E144" s="3" t="s">
        <v>168</v>
      </c>
      <c r="F144" s="3"/>
      <c r="G144" s="3"/>
    </row>
    <row r="145" spans="1:7" ht="27.6">
      <c r="A145" s="3" t="s">
        <v>558</v>
      </c>
      <c r="B145" s="3" t="s">
        <v>559</v>
      </c>
      <c r="C145" s="3" t="s">
        <v>560</v>
      </c>
      <c r="D145" s="3" t="s">
        <v>288</v>
      </c>
      <c r="E145" s="3" t="s">
        <v>168</v>
      </c>
      <c r="F145" s="3"/>
      <c r="G145" s="3"/>
    </row>
    <row r="146" spans="1:7" ht="69">
      <c r="A146" s="3" t="s">
        <v>561</v>
      </c>
      <c r="B146" s="3" t="s">
        <v>562</v>
      </c>
      <c r="C146" s="3" t="s">
        <v>563</v>
      </c>
      <c r="D146" s="3" t="s">
        <v>307</v>
      </c>
      <c r="E146" s="3" t="s">
        <v>168</v>
      </c>
      <c r="F146" s="3"/>
      <c r="G146" s="3"/>
    </row>
    <row r="147" spans="1:7" ht="27.6">
      <c r="A147" s="3" t="s">
        <v>564</v>
      </c>
      <c r="B147" s="3" t="s">
        <v>565</v>
      </c>
      <c r="C147" s="3" t="s">
        <v>566</v>
      </c>
      <c r="D147" s="3" t="s">
        <v>307</v>
      </c>
      <c r="E147" s="3" t="s">
        <v>168</v>
      </c>
      <c r="F147" s="3"/>
      <c r="G147" s="3"/>
    </row>
    <row r="148" spans="1:7" ht="27.6">
      <c r="A148" s="3" t="s">
        <v>567</v>
      </c>
      <c r="B148" s="3" t="s">
        <v>568</v>
      </c>
      <c r="C148" s="3" t="s">
        <v>189</v>
      </c>
      <c r="D148" s="3" t="s">
        <v>354</v>
      </c>
      <c r="E148" s="3" t="s">
        <v>168</v>
      </c>
      <c r="F148" s="3"/>
      <c r="G148" s="3"/>
    </row>
    <row r="149" spans="1:7" ht="27.6">
      <c r="A149" s="3" t="s">
        <v>569</v>
      </c>
      <c r="B149" s="3" t="s">
        <v>570</v>
      </c>
      <c r="C149" s="3" t="s">
        <v>189</v>
      </c>
      <c r="D149" s="3" t="s">
        <v>253</v>
      </c>
      <c r="E149" s="3" t="s">
        <v>168</v>
      </c>
      <c r="F149" s="3"/>
      <c r="G149" s="3"/>
    </row>
    <row r="150" spans="1:7" ht="27.6">
      <c r="A150" s="3" t="s">
        <v>571</v>
      </c>
      <c r="B150" s="3" t="s">
        <v>572</v>
      </c>
      <c r="C150" s="3" t="s">
        <v>244</v>
      </c>
      <c r="D150" s="3" t="s">
        <v>167</v>
      </c>
      <c r="E150" s="3" t="s">
        <v>168</v>
      </c>
      <c r="F150" s="3"/>
      <c r="G150" s="3"/>
    </row>
    <row r="151" spans="1:7" ht="27.6">
      <c r="A151" s="3" t="s">
        <v>573</v>
      </c>
      <c r="B151" s="3" t="s">
        <v>574</v>
      </c>
      <c r="C151" s="3" t="s">
        <v>575</v>
      </c>
      <c r="D151" s="3" t="s">
        <v>178</v>
      </c>
      <c r="E151" s="3" t="s">
        <v>168</v>
      </c>
      <c r="F151" s="3"/>
      <c r="G151" s="3"/>
    </row>
    <row r="152" spans="1:7" ht="27.6">
      <c r="A152" s="3" t="s">
        <v>576</v>
      </c>
      <c r="B152" s="3" t="s">
        <v>577</v>
      </c>
      <c r="C152" s="3" t="s">
        <v>345</v>
      </c>
      <c r="D152" s="3" t="s">
        <v>475</v>
      </c>
      <c r="E152" s="3" t="s">
        <v>168</v>
      </c>
      <c r="F152" s="3"/>
      <c r="G152" s="3"/>
    </row>
    <row r="153" spans="1:7" ht="27.6">
      <c r="A153" s="3" t="s">
        <v>578</v>
      </c>
      <c r="B153" s="3" t="s">
        <v>579</v>
      </c>
      <c r="C153" s="3" t="s">
        <v>240</v>
      </c>
      <c r="D153" s="3" t="s">
        <v>245</v>
      </c>
      <c r="E153" s="3" t="s">
        <v>168</v>
      </c>
      <c r="F153" s="3"/>
      <c r="G153" s="3"/>
    </row>
    <row r="154" spans="1:7" ht="27.6">
      <c r="A154" s="3" t="s">
        <v>580</v>
      </c>
      <c r="B154" s="3" t="s">
        <v>581</v>
      </c>
      <c r="C154" s="3" t="s">
        <v>582</v>
      </c>
      <c r="D154" s="3" t="s">
        <v>178</v>
      </c>
      <c r="E154" s="3" t="s">
        <v>168</v>
      </c>
      <c r="F154" s="3"/>
      <c r="G154" s="3"/>
    </row>
    <row r="155" spans="1:7" ht="27.6">
      <c r="A155" s="3" t="s">
        <v>583</v>
      </c>
      <c r="B155" s="3" t="s">
        <v>584</v>
      </c>
      <c r="C155" s="3" t="s">
        <v>516</v>
      </c>
      <c r="D155" s="3" t="s">
        <v>475</v>
      </c>
      <c r="E155" s="3" t="s">
        <v>168</v>
      </c>
      <c r="F155" s="3"/>
      <c r="G155" s="3"/>
    </row>
    <row r="156" spans="1:7" ht="27.6">
      <c r="A156" s="3" t="s">
        <v>585</v>
      </c>
      <c r="B156" s="3" t="s">
        <v>586</v>
      </c>
      <c r="C156" s="3" t="s">
        <v>587</v>
      </c>
      <c r="D156" s="3" t="s">
        <v>204</v>
      </c>
      <c r="E156" s="3" t="s">
        <v>205</v>
      </c>
      <c r="F156" s="3"/>
      <c r="G156" s="3"/>
    </row>
    <row r="157" spans="1:7" ht="27.6">
      <c r="A157" s="3" t="s">
        <v>588</v>
      </c>
      <c r="B157" s="3" t="s">
        <v>589</v>
      </c>
      <c r="C157" s="3" t="s">
        <v>244</v>
      </c>
      <c r="D157" s="3" t="s">
        <v>256</v>
      </c>
      <c r="E157" s="3" t="s">
        <v>168</v>
      </c>
      <c r="F157" s="3"/>
      <c r="G157" s="3"/>
    </row>
    <row r="158" spans="1:7" ht="27.6">
      <c r="A158" s="3" t="s">
        <v>590</v>
      </c>
      <c r="B158" s="3" t="s">
        <v>591</v>
      </c>
      <c r="C158" s="3" t="s">
        <v>268</v>
      </c>
      <c r="D158" s="3" t="s">
        <v>346</v>
      </c>
      <c r="E158" s="3" t="s">
        <v>168</v>
      </c>
      <c r="F158" s="3"/>
      <c r="G158" s="3"/>
    </row>
    <row r="159" spans="1:7" ht="27.6">
      <c r="A159" s="3" t="s">
        <v>592</v>
      </c>
      <c r="B159" s="3" t="s">
        <v>593</v>
      </c>
      <c r="C159" s="3" t="s">
        <v>594</v>
      </c>
      <c r="D159" s="3" t="s">
        <v>178</v>
      </c>
      <c r="E159" s="3" t="s">
        <v>168</v>
      </c>
      <c r="F159" s="3"/>
      <c r="G159" s="3"/>
    </row>
    <row r="160" spans="1:7" ht="27.6">
      <c r="A160" s="3" t="s">
        <v>595</v>
      </c>
      <c r="B160" s="3" t="s">
        <v>596</v>
      </c>
      <c r="C160" s="3" t="s">
        <v>345</v>
      </c>
      <c r="D160" s="3" t="s">
        <v>256</v>
      </c>
      <c r="E160" s="3" t="s">
        <v>168</v>
      </c>
      <c r="F160" s="3"/>
      <c r="G160" s="3"/>
    </row>
    <row r="161" spans="1:7" ht="27.6">
      <c r="A161" s="3" t="s">
        <v>597</v>
      </c>
      <c r="B161" s="3" t="s">
        <v>598</v>
      </c>
      <c r="C161" s="3" t="s">
        <v>189</v>
      </c>
      <c r="D161" s="3" t="s">
        <v>245</v>
      </c>
      <c r="E161" s="3" t="s">
        <v>168</v>
      </c>
      <c r="F161" s="3"/>
      <c r="G161" s="3"/>
    </row>
    <row r="162" spans="1:7" ht="27.6">
      <c r="A162" s="3" t="s">
        <v>599</v>
      </c>
      <c r="B162" s="3" t="s">
        <v>600</v>
      </c>
      <c r="C162" s="3" t="s">
        <v>268</v>
      </c>
      <c r="D162" s="3" t="s">
        <v>469</v>
      </c>
      <c r="E162" s="3" t="s">
        <v>168</v>
      </c>
      <c r="F162" s="3"/>
      <c r="G162" s="3"/>
    </row>
    <row r="163" spans="1:7" ht="41.4">
      <c r="A163" s="3" t="s">
        <v>601</v>
      </c>
      <c r="B163" s="3" t="s">
        <v>602</v>
      </c>
      <c r="C163" s="3" t="s">
        <v>603</v>
      </c>
      <c r="D163" s="3" t="s">
        <v>303</v>
      </c>
      <c r="E163" s="3" t="s">
        <v>168</v>
      </c>
      <c r="F163" s="3"/>
      <c r="G163" s="3"/>
    </row>
    <row r="164" spans="1:7" ht="27.6">
      <c r="A164" s="3" t="s">
        <v>604</v>
      </c>
      <c r="B164" s="3" t="s">
        <v>605</v>
      </c>
      <c r="C164" s="3" t="s">
        <v>200</v>
      </c>
      <c r="D164" s="3" t="s">
        <v>279</v>
      </c>
      <c r="E164" s="3" t="s">
        <v>168</v>
      </c>
      <c r="F164" s="3"/>
      <c r="G164" s="3"/>
    </row>
    <row r="165" spans="1:7" ht="27.6">
      <c r="A165" s="3" t="s">
        <v>606</v>
      </c>
      <c r="B165" s="3" t="s">
        <v>607</v>
      </c>
      <c r="C165" s="3" t="s">
        <v>608</v>
      </c>
      <c r="D165" s="3" t="s">
        <v>204</v>
      </c>
      <c r="E165" s="3" t="s">
        <v>205</v>
      </c>
      <c r="F165" s="3"/>
      <c r="G165" s="3"/>
    </row>
    <row r="166" spans="1:7" ht="27.6">
      <c r="A166" s="3" t="s">
        <v>609</v>
      </c>
      <c r="B166" s="3" t="s">
        <v>610</v>
      </c>
      <c r="C166" s="3" t="s">
        <v>244</v>
      </c>
      <c r="D166" s="3" t="s">
        <v>285</v>
      </c>
      <c r="E166" s="3" t="s">
        <v>168</v>
      </c>
      <c r="F166" s="3"/>
      <c r="G166" s="3"/>
    </row>
    <row r="167" spans="1:7" ht="27.6">
      <c r="A167" s="3" t="s">
        <v>611</v>
      </c>
      <c r="B167" s="3" t="s">
        <v>612</v>
      </c>
      <c r="C167" s="3" t="s">
        <v>172</v>
      </c>
      <c r="D167" s="3" t="s">
        <v>469</v>
      </c>
      <c r="E167" s="3" t="s">
        <v>168</v>
      </c>
      <c r="F167" s="3"/>
      <c r="G167" s="3"/>
    </row>
    <row r="168" spans="1:7" ht="27.6">
      <c r="A168" s="3" t="s">
        <v>613</v>
      </c>
      <c r="B168" s="3" t="s">
        <v>614</v>
      </c>
      <c r="C168" s="3" t="s">
        <v>172</v>
      </c>
      <c r="D168" s="3" t="s">
        <v>193</v>
      </c>
      <c r="E168" s="3" t="s">
        <v>168</v>
      </c>
      <c r="F168" s="3"/>
      <c r="G168" s="3"/>
    </row>
    <row r="169" spans="1:7" ht="27.6">
      <c r="A169" s="3" t="s">
        <v>615</v>
      </c>
      <c r="B169" s="3" t="s">
        <v>616</v>
      </c>
      <c r="C169" s="3" t="s">
        <v>228</v>
      </c>
      <c r="D169" s="3" t="s">
        <v>363</v>
      </c>
      <c r="E169" s="3" t="s">
        <v>168</v>
      </c>
      <c r="F169" s="3"/>
      <c r="G169" s="3"/>
    </row>
    <row r="170" spans="1:7" ht="27.6">
      <c r="A170" s="3" t="s">
        <v>617</v>
      </c>
      <c r="B170" s="3" t="s">
        <v>618</v>
      </c>
      <c r="C170" s="3" t="s">
        <v>619</v>
      </c>
      <c r="D170" s="3" t="s">
        <v>288</v>
      </c>
      <c r="E170" s="3" t="s">
        <v>168</v>
      </c>
      <c r="F170" s="3"/>
      <c r="G170" s="3"/>
    </row>
    <row r="171" spans="1:7" ht="27.6">
      <c r="A171" s="3" t="s">
        <v>620</v>
      </c>
      <c r="B171" s="3" t="s">
        <v>621</v>
      </c>
      <c r="C171" s="3" t="s">
        <v>516</v>
      </c>
      <c r="D171" s="3" t="s">
        <v>253</v>
      </c>
      <c r="E171" s="3" t="s">
        <v>168</v>
      </c>
      <c r="F171" s="3"/>
      <c r="G171" s="3"/>
    </row>
    <row r="172" spans="1:7" ht="27.6">
      <c r="A172" s="3" t="s">
        <v>622</v>
      </c>
      <c r="B172" s="3" t="s">
        <v>623</v>
      </c>
      <c r="C172" s="3" t="s">
        <v>624</v>
      </c>
      <c r="D172" s="3" t="s">
        <v>186</v>
      </c>
      <c r="E172" s="3" t="s">
        <v>168</v>
      </c>
      <c r="F172" s="3"/>
      <c r="G172" s="3"/>
    </row>
    <row r="173" spans="1:7" ht="27.6">
      <c r="A173" s="3" t="s">
        <v>625</v>
      </c>
      <c r="B173" s="3" t="s">
        <v>626</v>
      </c>
      <c r="C173" s="3" t="s">
        <v>627</v>
      </c>
      <c r="D173" s="3" t="s">
        <v>178</v>
      </c>
      <c r="E173" s="3" t="s">
        <v>168</v>
      </c>
      <c r="F173" s="3"/>
      <c r="G173" s="3"/>
    </row>
    <row r="174" spans="1:7" ht="27.6">
      <c r="A174" s="3" t="s">
        <v>628</v>
      </c>
      <c r="B174" s="3" t="s">
        <v>629</v>
      </c>
      <c r="C174" s="3" t="s">
        <v>217</v>
      </c>
      <c r="D174" s="3" t="s">
        <v>363</v>
      </c>
      <c r="E174" s="3" t="s">
        <v>168</v>
      </c>
      <c r="F174" s="3"/>
      <c r="G174" s="3"/>
    </row>
    <row r="175" spans="1:7" ht="41.4">
      <c r="A175" s="3" t="s">
        <v>630</v>
      </c>
      <c r="B175" s="3" t="s">
        <v>631</v>
      </c>
      <c r="C175" s="3" t="s">
        <v>632</v>
      </c>
      <c r="D175" s="3" t="s">
        <v>178</v>
      </c>
      <c r="E175" s="3" t="s">
        <v>168</v>
      </c>
      <c r="F175" s="3"/>
      <c r="G175" s="3"/>
    </row>
    <row r="176" spans="1:7" ht="27.6">
      <c r="A176" s="3" t="s">
        <v>633</v>
      </c>
      <c r="B176" s="3" t="s">
        <v>634</v>
      </c>
      <c r="C176" s="3" t="s">
        <v>635</v>
      </c>
      <c r="D176" s="3" t="s">
        <v>178</v>
      </c>
      <c r="E176" s="3" t="s">
        <v>205</v>
      </c>
      <c r="F176" s="3"/>
      <c r="G176" s="3"/>
    </row>
    <row r="177" spans="1:7" ht="27.6">
      <c r="A177" s="3" t="s">
        <v>636</v>
      </c>
      <c r="B177" s="3" t="s">
        <v>637</v>
      </c>
      <c r="C177" s="3" t="s">
        <v>217</v>
      </c>
      <c r="D177" s="3" t="s">
        <v>360</v>
      </c>
      <c r="E177" s="3" t="s">
        <v>168</v>
      </c>
      <c r="F177" s="3"/>
      <c r="G177" s="3"/>
    </row>
    <row r="178" spans="1:7" ht="27.6">
      <c r="A178" s="3" t="s">
        <v>154</v>
      </c>
      <c r="B178" s="3" t="s">
        <v>638</v>
      </c>
      <c r="C178" s="3" t="s">
        <v>639</v>
      </c>
      <c r="D178" s="3" t="s">
        <v>303</v>
      </c>
      <c r="E178" s="3" t="s">
        <v>168</v>
      </c>
      <c r="F178" s="3"/>
      <c r="G178" s="3"/>
    </row>
    <row r="179" spans="1:7" ht="27.6">
      <c r="A179" s="3" t="s">
        <v>640</v>
      </c>
      <c r="B179" s="3" t="s">
        <v>641</v>
      </c>
      <c r="C179" s="3" t="s">
        <v>240</v>
      </c>
      <c r="D179" s="3" t="s">
        <v>475</v>
      </c>
      <c r="E179" s="3" t="s">
        <v>168</v>
      </c>
      <c r="F179" s="3"/>
      <c r="G179" s="3"/>
    </row>
    <row r="180" spans="1:7" ht="41.4">
      <c r="A180" s="3" t="s">
        <v>642</v>
      </c>
      <c r="B180" s="3" t="s">
        <v>643</v>
      </c>
      <c r="C180" s="3" t="s">
        <v>644</v>
      </c>
      <c r="D180" s="3" t="s">
        <v>178</v>
      </c>
      <c r="E180" s="3" t="s">
        <v>168</v>
      </c>
      <c r="F180" s="3"/>
      <c r="G180" s="3"/>
    </row>
    <row r="181" spans="1:7" ht="41.4">
      <c r="A181" s="3" t="s">
        <v>645</v>
      </c>
      <c r="B181" s="3" t="s">
        <v>646</v>
      </c>
      <c r="C181" s="3" t="s">
        <v>647</v>
      </c>
      <c r="D181" s="3" t="s">
        <v>178</v>
      </c>
      <c r="E181" s="3" t="s">
        <v>168</v>
      </c>
      <c r="F181" s="3"/>
      <c r="G181" s="3"/>
    </row>
    <row r="182" spans="1:7" ht="41.4">
      <c r="A182" s="3" t="s">
        <v>648</v>
      </c>
      <c r="B182" s="3" t="s">
        <v>649</v>
      </c>
      <c r="C182" s="3" t="s">
        <v>650</v>
      </c>
      <c r="D182" s="3" t="s">
        <v>178</v>
      </c>
      <c r="E182" s="3" t="s">
        <v>168</v>
      </c>
      <c r="F182" s="3"/>
      <c r="G182" s="3"/>
    </row>
    <row r="183" spans="1:7" ht="41.4">
      <c r="A183" s="3" t="s">
        <v>651</v>
      </c>
      <c r="B183" s="3" t="s">
        <v>652</v>
      </c>
      <c r="C183" s="3" t="s">
        <v>653</v>
      </c>
      <c r="D183" s="3" t="s">
        <v>178</v>
      </c>
      <c r="E183" s="3" t="s">
        <v>168</v>
      </c>
      <c r="F183" s="3"/>
      <c r="G183" s="3"/>
    </row>
    <row r="184" spans="1:7" ht="41.4">
      <c r="A184" s="3" t="s">
        <v>654</v>
      </c>
      <c r="B184" s="3" t="s">
        <v>655</v>
      </c>
      <c r="C184" s="3" t="s">
        <v>656</v>
      </c>
      <c r="D184" s="3" t="s">
        <v>178</v>
      </c>
      <c r="E184" s="3" t="s">
        <v>168</v>
      </c>
      <c r="F184" s="3"/>
      <c r="G184" s="3"/>
    </row>
    <row r="185" spans="1:7" ht="27.6">
      <c r="A185" s="3" t="s">
        <v>657</v>
      </c>
      <c r="B185" s="3" t="s">
        <v>658</v>
      </c>
      <c r="C185" s="3" t="s">
        <v>172</v>
      </c>
      <c r="D185" s="3" t="s">
        <v>420</v>
      </c>
      <c r="E185" s="3" t="s">
        <v>168</v>
      </c>
      <c r="F185" s="3"/>
      <c r="G185" s="3"/>
    </row>
    <row r="186" spans="1:7" ht="27.6">
      <c r="A186" s="3" t="s">
        <v>659</v>
      </c>
      <c r="B186" s="3" t="s">
        <v>660</v>
      </c>
      <c r="C186" s="3" t="s">
        <v>172</v>
      </c>
      <c r="D186" s="3" t="s">
        <v>371</v>
      </c>
      <c r="E186" s="3" t="s">
        <v>168</v>
      </c>
      <c r="F186" s="3"/>
      <c r="G186" s="3"/>
    </row>
    <row r="187" spans="1:7" ht="27.6">
      <c r="A187" s="3" t="s">
        <v>661</v>
      </c>
      <c r="B187" s="3" t="s">
        <v>662</v>
      </c>
      <c r="C187" s="3" t="s">
        <v>663</v>
      </c>
      <c r="D187" s="3" t="s">
        <v>664</v>
      </c>
      <c r="E187" s="3" t="s">
        <v>168</v>
      </c>
      <c r="F187" s="3"/>
      <c r="G187" s="3"/>
    </row>
    <row r="188" spans="1:7" ht="27.6">
      <c r="A188" s="3" t="s">
        <v>665</v>
      </c>
      <c r="B188" s="3" t="s">
        <v>666</v>
      </c>
      <c r="C188" s="3" t="s">
        <v>667</v>
      </c>
      <c r="D188" s="3" t="s">
        <v>186</v>
      </c>
      <c r="E188" s="3" t="s">
        <v>168</v>
      </c>
      <c r="F188" s="3"/>
      <c r="G188" s="3"/>
    </row>
    <row r="189" spans="1:7" ht="27.6">
      <c r="A189" s="3" t="s">
        <v>668</v>
      </c>
      <c r="B189" s="3" t="s">
        <v>669</v>
      </c>
      <c r="C189" s="3" t="s">
        <v>172</v>
      </c>
      <c r="D189" s="3" t="s">
        <v>360</v>
      </c>
      <c r="E189" s="3" t="s">
        <v>168</v>
      </c>
      <c r="F189" s="3"/>
      <c r="G189" s="3"/>
    </row>
    <row r="190" spans="1:7" ht="27.6">
      <c r="A190" s="3" t="s">
        <v>670</v>
      </c>
      <c r="B190" s="3" t="s">
        <v>671</v>
      </c>
      <c r="C190" s="3" t="s">
        <v>672</v>
      </c>
      <c r="D190" s="3" t="s">
        <v>186</v>
      </c>
      <c r="E190" s="3" t="s">
        <v>168</v>
      </c>
      <c r="F190" s="3"/>
      <c r="G190" s="3"/>
    </row>
    <row r="191" spans="1:7" ht="27.6">
      <c r="A191" s="3" t="s">
        <v>673</v>
      </c>
      <c r="B191" s="3" t="s">
        <v>674</v>
      </c>
      <c r="C191" s="3" t="s">
        <v>172</v>
      </c>
      <c r="D191" s="3" t="s">
        <v>214</v>
      </c>
      <c r="E191" s="3" t="s">
        <v>168</v>
      </c>
      <c r="F191" s="3"/>
      <c r="G191" s="3"/>
    </row>
    <row r="192" spans="1:7" ht="27.6">
      <c r="A192" s="3" t="s">
        <v>675</v>
      </c>
      <c r="B192" s="3" t="s">
        <v>676</v>
      </c>
      <c r="C192" s="3" t="s">
        <v>189</v>
      </c>
      <c r="D192" s="3" t="s">
        <v>197</v>
      </c>
      <c r="E192" s="3" t="s">
        <v>168</v>
      </c>
      <c r="F192" s="3"/>
      <c r="G192" s="3"/>
    </row>
    <row r="193" spans="1:7" ht="27.6">
      <c r="A193" s="3" t="s">
        <v>677</v>
      </c>
      <c r="B193" s="3" t="s">
        <v>678</v>
      </c>
      <c r="C193" s="3" t="s">
        <v>240</v>
      </c>
      <c r="D193" s="3" t="s">
        <v>371</v>
      </c>
      <c r="E193" s="3" t="s">
        <v>168</v>
      </c>
      <c r="F193" s="3"/>
      <c r="G193" s="3"/>
    </row>
    <row r="194" spans="1:7" ht="27.6">
      <c r="A194" s="3" t="s">
        <v>679</v>
      </c>
      <c r="B194" s="3" t="s">
        <v>680</v>
      </c>
      <c r="C194" s="3" t="s">
        <v>494</v>
      </c>
      <c r="D194" s="3" t="s">
        <v>204</v>
      </c>
      <c r="E194" s="3" t="s">
        <v>205</v>
      </c>
      <c r="F194" s="3"/>
      <c r="G194" s="3"/>
    </row>
    <row r="195" spans="1:7" ht="27.6">
      <c r="A195" s="3" t="s">
        <v>681</v>
      </c>
      <c r="B195" s="3" t="s">
        <v>682</v>
      </c>
      <c r="C195" s="3" t="s">
        <v>189</v>
      </c>
      <c r="D195" s="3" t="s">
        <v>475</v>
      </c>
      <c r="E195" s="3" t="s">
        <v>168</v>
      </c>
      <c r="F195" s="3"/>
      <c r="G195" s="3"/>
    </row>
    <row r="196" spans="1:7" ht="27.6">
      <c r="A196" s="3" t="s">
        <v>683</v>
      </c>
      <c r="B196" s="3" t="s">
        <v>684</v>
      </c>
      <c r="C196" s="3" t="s">
        <v>685</v>
      </c>
      <c r="D196" s="3" t="s">
        <v>204</v>
      </c>
      <c r="E196" s="3" t="s">
        <v>205</v>
      </c>
      <c r="F196" s="3"/>
      <c r="G196" s="3"/>
    </row>
    <row r="197" spans="1:7" ht="27.6">
      <c r="A197" s="3" t="s">
        <v>686</v>
      </c>
      <c r="B197" s="3" t="s">
        <v>687</v>
      </c>
      <c r="C197" s="3" t="s">
        <v>200</v>
      </c>
      <c r="D197" s="3" t="s">
        <v>190</v>
      </c>
      <c r="E197" s="3" t="s">
        <v>168</v>
      </c>
      <c r="F197" s="3"/>
      <c r="G197" s="3"/>
    </row>
    <row r="198" spans="1:7" ht="27.6">
      <c r="A198" s="3" t="s">
        <v>688</v>
      </c>
      <c r="B198" s="3" t="s">
        <v>689</v>
      </c>
      <c r="C198" s="3" t="s">
        <v>345</v>
      </c>
      <c r="D198" s="3" t="s">
        <v>469</v>
      </c>
      <c r="E198" s="3" t="s">
        <v>168</v>
      </c>
      <c r="F198" s="3"/>
      <c r="G198" s="3"/>
    </row>
    <row r="199" spans="1:7" ht="55.2">
      <c r="A199" s="3" t="s">
        <v>690</v>
      </c>
      <c r="B199" s="3" t="s">
        <v>691</v>
      </c>
      <c r="C199" s="3" t="s">
        <v>692</v>
      </c>
      <c r="D199" s="3" t="s">
        <v>186</v>
      </c>
      <c r="E199" s="3" t="s">
        <v>168</v>
      </c>
      <c r="F199" s="3"/>
      <c r="G199" s="3"/>
    </row>
    <row r="200" spans="1:7" ht="27.6">
      <c r="A200" s="3" t="s">
        <v>693</v>
      </c>
      <c r="B200" s="3" t="s">
        <v>694</v>
      </c>
      <c r="C200" s="3" t="s">
        <v>695</v>
      </c>
      <c r="D200" s="3" t="s">
        <v>204</v>
      </c>
      <c r="E200" s="3" t="s">
        <v>205</v>
      </c>
      <c r="F200" s="3"/>
      <c r="G200" s="3"/>
    </row>
    <row r="201" spans="1:7" ht="27.6">
      <c r="A201" s="3" t="s">
        <v>696</v>
      </c>
      <c r="B201" s="3" t="s">
        <v>697</v>
      </c>
      <c r="C201" s="3" t="s">
        <v>217</v>
      </c>
      <c r="D201" s="3" t="s">
        <v>475</v>
      </c>
      <c r="E201" s="3" t="s">
        <v>168</v>
      </c>
      <c r="F201" s="3"/>
      <c r="G201" s="3"/>
    </row>
    <row r="202" spans="1:7" ht="27.6">
      <c r="A202" s="3" t="s">
        <v>698</v>
      </c>
      <c r="B202" s="3" t="s">
        <v>699</v>
      </c>
      <c r="C202" s="3" t="s">
        <v>200</v>
      </c>
      <c r="D202" s="3" t="s">
        <v>330</v>
      </c>
      <c r="E202" s="3" t="s">
        <v>168</v>
      </c>
      <c r="F202" s="3"/>
      <c r="G202" s="3"/>
    </row>
    <row r="203" spans="1:7" ht="27.6">
      <c r="A203" s="3" t="s">
        <v>700</v>
      </c>
      <c r="B203" s="3" t="s">
        <v>701</v>
      </c>
      <c r="C203" s="3" t="s">
        <v>172</v>
      </c>
      <c r="D203" s="3" t="s">
        <v>256</v>
      </c>
      <c r="E203" s="3" t="s">
        <v>168</v>
      </c>
      <c r="F203" s="3"/>
      <c r="G203" s="3"/>
    </row>
    <row r="204" spans="1:7" ht="27.6">
      <c r="A204" s="3" t="s">
        <v>702</v>
      </c>
      <c r="B204" s="3" t="s">
        <v>703</v>
      </c>
      <c r="C204" s="3" t="s">
        <v>704</v>
      </c>
      <c r="D204" s="3" t="s">
        <v>288</v>
      </c>
      <c r="E204" s="3" t="s">
        <v>168</v>
      </c>
      <c r="F204" s="3"/>
      <c r="G204" s="3"/>
    </row>
    <row r="205" spans="1:7" ht="27.6">
      <c r="A205" s="3" t="s">
        <v>705</v>
      </c>
      <c r="B205" s="3" t="s">
        <v>706</v>
      </c>
      <c r="C205" s="3" t="s">
        <v>345</v>
      </c>
      <c r="D205" s="3" t="s">
        <v>245</v>
      </c>
      <c r="E205" s="3" t="s">
        <v>168</v>
      </c>
      <c r="F205" s="3"/>
      <c r="G205" s="3"/>
    </row>
    <row r="206" spans="1:7" ht="27.6">
      <c r="A206" s="3" t="s">
        <v>707</v>
      </c>
      <c r="B206" s="3" t="s">
        <v>708</v>
      </c>
      <c r="C206" s="3" t="s">
        <v>189</v>
      </c>
      <c r="D206" s="3" t="s">
        <v>256</v>
      </c>
      <c r="E206" s="3" t="s">
        <v>168</v>
      </c>
      <c r="F206" s="3"/>
      <c r="G206" s="3"/>
    </row>
    <row r="207" spans="1:7" ht="27.6">
      <c r="A207" s="3" t="s">
        <v>709</v>
      </c>
      <c r="B207" s="3" t="s">
        <v>710</v>
      </c>
      <c r="C207" s="3" t="s">
        <v>516</v>
      </c>
      <c r="D207" s="3" t="s">
        <v>190</v>
      </c>
      <c r="E207" s="3" t="s">
        <v>168</v>
      </c>
      <c r="F207" s="3"/>
      <c r="G207" s="3"/>
    </row>
    <row r="208" spans="1:7" ht="27.6">
      <c r="A208" s="3" t="s">
        <v>711</v>
      </c>
      <c r="B208" s="3" t="s">
        <v>712</v>
      </c>
      <c r="C208" s="3" t="s">
        <v>189</v>
      </c>
      <c r="D208" s="3" t="s">
        <v>173</v>
      </c>
      <c r="E208" s="3" t="s">
        <v>168</v>
      </c>
      <c r="F208" s="3"/>
      <c r="G208" s="3"/>
    </row>
    <row r="209" spans="1:7" ht="27.6">
      <c r="A209" s="3" t="s">
        <v>151</v>
      </c>
      <c r="B209" s="3" t="s">
        <v>713</v>
      </c>
      <c r="C209" s="3" t="s">
        <v>714</v>
      </c>
      <c r="D209" s="3" t="s">
        <v>178</v>
      </c>
      <c r="E209" s="3" t="s">
        <v>168</v>
      </c>
      <c r="F209" s="3"/>
      <c r="G209" s="3"/>
    </row>
    <row r="210" spans="1:7" ht="27.6">
      <c r="A210" s="3" t="s">
        <v>715</v>
      </c>
      <c r="B210" s="3" t="s">
        <v>716</v>
      </c>
      <c r="C210" s="3" t="s">
        <v>516</v>
      </c>
      <c r="D210" s="3" t="s">
        <v>285</v>
      </c>
      <c r="E210" s="3" t="s">
        <v>168</v>
      </c>
      <c r="F210" s="3"/>
      <c r="G210" s="3"/>
    </row>
    <row r="211" spans="1:7" ht="27.6">
      <c r="A211" s="3" t="s">
        <v>717</v>
      </c>
      <c r="B211" s="3" t="s">
        <v>718</v>
      </c>
      <c r="C211" s="3" t="s">
        <v>719</v>
      </c>
      <c r="D211" s="3" t="s">
        <v>186</v>
      </c>
      <c r="E211" s="3" t="s">
        <v>168</v>
      </c>
      <c r="F211" s="3"/>
      <c r="G211" s="3"/>
    </row>
    <row r="212" spans="1:7" ht="41.4">
      <c r="A212" s="3" t="s">
        <v>720</v>
      </c>
      <c r="B212" s="3" t="s">
        <v>721</v>
      </c>
      <c r="C212" s="3" t="s">
        <v>722</v>
      </c>
      <c r="D212" s="3" t="s">
        <v>178</v>
      </c>
      <c r="E212" s="3" t="s">
        <v>168</v>
      </c>
      <c r="F212" s="3"/>
      <c r="G212" s="3"/>
    </row>
    <row r="213" spans="1:7" ht="27.6">
      <c r="A213" s="3" t="s">
        <v>723</v>
      </c>
      <c r="B213" s="3" t="s">
        <v>724</v>
      </c>
      <c r="C213" s="3" t="s">
        <v>725</v>
      </c>
      <c r="D213" s="3" t="s">
        <v>186</v>
      </c>
      <c r="E213" s="3" t="s">
        <v>168</v>
      </c>
      <c r="F213" s="3"/>
      <c r="G213" s="3"/>
    </row>
    <row r="214" spans="1:7" ht="27.6">
      <c r="A214" s="3" t="s">
        <v>726</v>
      </c>
      <c r="B214" s="3" t="s">
        <v>727</v>
      </c>
      <c r="C214" s="3" t="s">
        <v>189</v>
      </c>
      <c r="D214" s="3" t="s">
        <v>360</v>
      </c>
      <c r="E214" s="3" t="s">
        <v>168</v>
      </c>
      <c r="F214" s="3"/>
      <c r="G214" s="3"/>
    </row>
    <row r="215" spans="1:7" ht="41.4">
      <c r="A215" s="3" t="s">
        <v>728</v>
      </c>
      <c r="B215" s="3" t="s">
        <v>729</v>
      </c>
      <c r="C215" s="3" t="s">
        <v>730</v>
      </c>
      <c r="D215" s="3" t="s">
        <v>178</v>
      </c>
      <c r="E215" s="3" t="s">
        <v>168</v>
      </c>
      <c r="F215" s="3"/>
      <c r="G215" s="3"/>
    </row>
    <row r="216" spans="1:7" ht="27.6">
      <c r="A216" s="3" t="s">
        <v>731</v>
      </c>
      <c r="B216" s="3" t="s">
        <v>732</v>
      </c>
      <c r="C216" s="3" t="s">
        <v>217</v>
      </c>
      <c r="D216" s="3" t="s">
        <v>279</v>
      </c>
      <c r="E216" s="3" t="s">
        <v>168</v>
      </c>
      <c r="F216" s="3"/>
      <c r="G216" s="3"/>
    </row>
    <row r="217" spans="1:7" ht="27.6">
      <c r="A217" s="3" t="s">
        <v>733</v>
      </c>
      <c r="B217" s="3" t="s">
        <v>734</v>
      </c>
      <c r="C217" s="3" t="s">
        <v>383</v>
      </c>
      <c r="D217" s="3" t="s">
        <v>294</v>
      </c>
      <c r="E217" s="3" t="s">
        <v>168</v>
      </c>
      <c r="F217" s="3"/>
      <c r="G217" s="3"/>
    </row>
    <row r="218" spans="1:7" ht="27.6">
      <c r="A218" s="3" t="s">
        <v>735</v>
      </c>
      <c r="B218" s="3" t="s">
        <v>736</v>
      </c>
      <c r="C218" s="3" t="s">
        <v>262</v>
      </c>
      <c r="D218" s="3" t="s">
        <v>256</v>
      </c>
      <c r="E218" s="3" t="s">
        <v>168</v>
      </c>
      <c r="F218" s="3"/>
      <c r="G218" s="3"/>
    </row>
    <row r="219" spans="1:7" ht="27.6">
      <c r="A219" s="3" t="s">
        <v>737</v>
      </c>
      <c r="B219" s="3" t="s">
        <v>738</v>
      </c>
      <c r="C219" s="3" t="s">
        <v>217</v>
      </c>
      <c r="D219" s="3" t="s">
        <v>245</v>
      </c>
      <c r="E219" s="3" t="s">
        <v>168</v>
      </c>
      <c r="F219" s="3"/>
      <c r="G219" s="3"/>
    </row>
    <row r="220" spans="1:7" ht="27.6">
      <c r="A220" s="3" t="s">
        <v>739</v>
      </c>
      <c r="B220" s="3" t="s">
        <v>740</v>
      </c>
      <c r="C220" s="3" t="s">
        <v>741</v>
      </c>
      <c r="D220" s="3" t="s">
        <v>204</v>
      </c>
      <c r="E220" s="3" t="s">
        <v>205</v>
      </c>
      <c r="F220" s="3"/>
      <c r="G220" s="3"/>
    </row>
    <row r="221" spans="1:7" ht="27.6">
      <c r="A221" s="3" t="s">
        <v>742</v>
      </c>
      <c r="B221" s="3" t="s">
        <v>743</v>
      </c>
      <c r="C221" s="3" t="s">
        <v>172</v>
      </c>
      <c r="D221" s="3" t="s">
        <v>167</v>
      </c>
      <c r="E221" s="3" t="s">
        <v>168</v>
      </c>
      <c r="F221" s="3"/>
      <c r="G221" s="3"/>
    </row>
    <row r="222" spans="1:7" ht="27.6">
      <c r="A222" s="3" t="s">
        <v>744</v>
      </c>
      <c r="B222" s="3" t="s">
        <v>745</v>
      </c>
      <c r="C222" s="3" t="s">
        <v>695</v>
      </c>
      <c r="D222" s="3" t="s">
        <v>186</v>
      </c>
      <c r="E222" s="3" t="s">
        <v>168</v>
      </c>
      <c r="F222" s="3"/>
      <c r="G222" s="3"/>
    </row>
    <row r="223" spans="1:7" ht="41.4">
      <c r="A223" s="3" t="s">
        <v>746</v>
      </c>
      <c r="B223" s="3" t="s">
        <v>747</v>
      </c>
      <c r="C223" s="3" t="s">
        <v>748</v>
      </c>
      <c r="D223" s="3" t="s">
        <v>178</v>
      </c>
      <c r="E223" s="3" t="s">
        <v>168</v>
      </c>
      <c r="F223" s="3"/>
      <c r="G223" s="3"/>
    </row>
    <row r="224" spans="1:7" ht="41.4">
      <c r="A224" s="3" t="s">
        <v>749</v>
      </c>
      <c r="B224" s="3" t="s">
        <v>750</v>
      </c>
      <c r="C224" s="3" t="s">
        <v>751</v>
      </c>
      <c r="D224" s="3" t="s">
        <v>204</v>
      </c>
      <c r="E224" s="3" t="s">
        <v>168</v>
      </c>
      <c r="F224" s="3"/>
      <c r="G224" s="3"/>
    </row>
    <row r="225" spans="1:7" ht="27.6">
      <c r="A225" s="3" t="s">
        <v>752</v>
      </c>
      <c r="B225" s="3" t="s">
        <v>753</v>
      </c>
      <c r="C225" s="3" t="s">
        <v>244</v>
      </c>
      <c r="D225" s="3" t="s">
        <v>303</v>
      </c>
      <c r="E225" s="3" t="s">
        <v>168</v>
      </c>
      <c r="F225" s="3"/>
      <c r="G225" s="3"/>
    </row>
    <row r="226" spans="1:7" ht="41.4">
      <c r="A226" s="3" t="s">
        <v>754</v>
      </c>
      <c r="B226" s="3" t="s">
        <v>755</v>
      </c>
      <c r="C226" s="3" t="s">
        <v>756</v>
      </c>
      <c r="D226" s="3" t="s">
        <v>178</v>
      </c>
      <c r="E226" s="3" t="s">
        <v>168</v>
      </c>
      <c r="F226" s="3"/>
      <c r="G226" s="3"/>
    </row>
    <row r="227" spans="1:7" ht="41.4">
      <c r="A227" s="3" t="s">
        <v>757</v>
      </c>
      <c r="B227" s="3" t="s">
        <v>758</v>
      </c>
      <c r="C227" s="3" t="s">
        <v>759</v>
      </c>
      <c r="D227" s="3" t="s">
        <v>178</v>
      </c>
      <c r="E227" s="3" t="s">
        <v>168</v>
      </c>
      <c r="F227" s="3"/>
      <c r="G227" s="3"/>
    </row>
    <row r="228" spans="1:7" ht="27.6">
      <c r="A228" s="3" t="s">
        <v>760</v>
      </c>
      <c r="B228" s="3" t="s">
        <v>761</v>
      </c>
      <c r="C228" s="3" t="s">
        <v>240</v>
      </c>
      <c r="D228" s="3" t="s">
        <v>363</v>
      </c>
      <c r="E228" s="3" t="s">
        <v>168</v>
      </c>
      <c r="F228" s="3"/>
      <c r="G228" s="3"/>
    </row>
    <row r="229" spans="1:7" ht="27.6">
      <c r="A229" s="3" t="s">
        <v>762</v>
      </c>
      <c r="B229" s="3" t="s">
        <v>763</v>
      </c>
      <c r="C229" s="3" t="s">
        <v>200</v>
      </c>
      <c r="D229" s="3" t="s">
        <v>253</v>
      </c>
      <c r="E229" s="3" t="s">
        <v>168</v>
      </c>
      <c r="F229" s="3"/>
      <c r="G229" s="3"/>
    </row>
    <row r="230" spans="1:7" ht="27.6">
      <c r="A230" s="3" t="s">
        <v>764</v>
      </c>
      <c r="B230" s="3" t="s">
        <v>765</v>
      </c>
      <c r="C230" s="3" t="s">
        <v>200</v>
      </c>
      <c r="D230" s="3" t="s">
        <v>346</v>
      </c>
      <c r="E230" s="3" t="s">
        <v>168</v>
      </c>
      <c r="F230" s="3"/>
      <c r="G230" s="3"/>
    </row>
    <row r="231" spans="1:7" ht="69">
      <c r="A231" s="3" t="s">
        <v>766</v>
      </c>
      <c r="B231" s="3" t="s">
        <v>767</v>
      </c>
      <c r="C231" s="3" t="s">
        <v>768</v>
      </c>
      <c r="D231" s="3" t="s">
        <v>307</v>
      </c>
      <c r="E231" s="3" t="s">
        <v>168</v>
      </c>
      <c r="F231" s="3"/>
      <c r="G231" s="3"/>
    </row>
    <row r="232" spans="1:7" ht="27.6">
      <c r="A232" s="3" t="s">
        <v>769</v>
      </c>
      <c r="B232" s="3" t="s">
        <v>770</v>
      </c>
      <c r="C232" s="3" t="s">
        <v>217</v>
      </c>
      <c r="D232" s="3" t="s">
        <v>256</v>
      </c>
      <c r="E232" s="3" t="s">
        <v>168</v>
      </c>
      <c r="F232" s="3"/>
      <c r="G232" s="3"/>
    </row>
    <row r="233" spans="1:7" ht="27.6">
      <c r="A233" s="3" t="s">
        <v>771</v>
      </c>
      <c r="B233" s="3" t="s">
        <v>772</v>
      </c>
      <c r="C233" s="3" t="s">
        <v>177</v>
      </c>
      <c r="D233" s="3" t="s">
        <v>431</v>
      </c>
      <c r="E233" s="3" t="s">
        <v>168</v>
      </c>
      <c r="F233" s="3"/>
      <c r="G233" s="3"/>
    </row>
    <row r="234" spans="1:7" ht="27.6">
      <c r="A234" s="3" t="s">
        <v>773</v>
      </c>
      <c r="B234" s="3" t="s">
        <v>774</v>
      </c>
      <c r="C234" s="3" t="s">
        <v>244</v>
      </c>
      <c r="D234" s="3" t="s">
        <v>178</v>
      </c>
      <c r="E234" s="3" t="s">
        <v>168</v>
      </c>
      <c r="F234" s="3"/>
      <c r="G234" s="3"/>
    </row>
    <row r="235" spans="1:7" ht="27.6">
      <c r="A235" s="3" t="s">
        <v>775</v>
      </c>
      <c r="B235" s="3" t="s">
        <v>776</v>
      </c>
      <c r="C235" s="3" t="s">
        <v>777</v>
      </c>
      <c r="D235" s="3" t="s">
        <v>186</v>
      </c>
      <c r="E235" s="3" t="s">
        <v>168</v>
      </c>
      <c r="F235" s="3"/>
      <c r="G235" s="3"/>
    </row>
    <row r="236" spans="1:7" ht="27.6">
      <c r="A236" s="3" t="s">
        <v>778</v>
      </c>
      <c r="B236" s="3" t="s">
        <v>779</v>
      </c>
      <c r="C236" s="3" t="s">
        <v>240</v>
      </c>
      <c r="D236" s="3" t="s">
        <v>197</v>
      </c>
      <c r="E236" s="3" t="s">
        <v>168</v>
      </c>
      <c r="F236" s="3"/>
      <c r="G236" s="3"/>
    </row>
    <row r="237" spans="1:7" ht="27.6">
      <c r="A237" s="3" t="s">
        <v>780</v>
      </c>
      <c r="B237" s="3" t="s">
        <v>781</v>
      </c>
      <c r="C237" s="3" t="s">
        <v>782</v>
      </c>
      <c r="D237" s="3" t="s">
        <v>186</v>
      </c>
      <c r="E237" s="3" t="s">
        <v>168</v>
      </c>
      <c r="F237" s="3"/>
      <c r="G237" s="3"/>
    </row>
    <row r="238" spans="1:7" ht="27.6">
      <c r="A238" s="3" t="s">
        <v>783</v>
      </c>
      <c r="B238" s="3" t="s">
        <v>784</v>
      </c>
      <c r="C238" s="3" t="s">
        <v>345</v>
      </c>
      <c r="D238" s="3" t="s">
        <v>349</v>
      </c>
      <c r="E238" s="3" t="s">
        <v>168</v>
      </c>
      <c r="F238" s="3"/>
      <c r="G238" s="3"/>
    </row>
    <row r="239" spans="1:7" ht="41.4">
      <c r="A239" s="3" t="s">
        <v>785</v>
      </c>
      <c r="B239" s="3" t="s">
        <v>786</v>
      </c>
      <c r="C239" s="3" t="s">
        <v>787</v>
      </c>
      <c r="D239" s="3" t="s">
        <v>178</v>
      </c>
      <c r="E239" s="3" t="s">
        <v>168</v>
      </c>
      <c r="F239" s="3"/>
      <c r="G239" s="3"/>
    </row>
    <row r="240" spans="1:7" ht="27.6">
      <c r="A240" s="3" t="s">
        <v>788</v>
      </c>
      <c r="B240" s="3" t="s">
        <v>789</v>
      </c>
      <c r="C240" s="3" t="s">
        <v>240</v>
      </c>
      <c r="D240" s="3" t="s">
        <v>214</v>
      </c>
      <c r="E240" s="3" t="s">
        <v>168</v>
      </c>
      <c r="F240" s="3"/>
      <c r="G240" s="3"/>
    </row>
    <row r="241" spans="1:7" ht="27.6">
      <c r="A241" s="3" t="s">
        <v>790</v>
      </c>
      <c r="B241" s="3" t="s">
        <v>791</v>
      </c>
      <c r="C241" s="3" t="s">
        <v>200</v>
      </c>
      <c r="D241" s="3" t="s">
        <v>256</v>
      </c>
      <c r="E241" s="3" t="s">
        <v>168</v>
      </c>
      <c r="F241" s="3"/>
      <c r="G241" s="3"/>
    </row>
    <row r="242" spans="1:7" ht="41.4">
      <c r="A242" s="3" t="s">
        <v>792</v>
      </c>
      <c r="B242" s="3" t="s">
        <v>793</v>
      </c>
      <c r="C242" s="3" t="s">
        <v>794</v>
      </c>
      <c r="D242" s="3" t="s">
        <v>186</v>
      </c>
      <c r="E242" s="3" t="s">
        <v>168</v>
      </c>
      <c r="F242" s="3"/>
      <c r="G242" s="3"/>
    </row>
    <row r="243" spans="1:7" ht="27.6">
      <c r="A243" s="3" t="s">
        <v>795</v>
      </c>
      <c r="B243" s="3" t="s">
        <v>796</v>
      </c>
      <c r="C243" s="3" t="s">
        <v>797</v>
      </c>
      <c r="D243" s="3" t="s">
        <v>186</v>
      </c>
      <c r="E243" s="3" t="s">
        <v>168</v>
      </c>
      <c r="F243" s="3"/>
      <c r="G243" s="3"/>
    </row>
    <row r="244" spans="1:7" ht="27.6">
      <c r="A244" s="3" t="s">
        <v>798</v>
      </c>
      <c r="B244" s="3" t="s">
        <v>799</v>
      </c>
      <c r="C244" s="3" t="s">
        <v>800</v>
      </c>
      <c r="D244" s="3" t="s">
        <v>186</v>
      </c>
      <c r="E244" s="3" t="s">
        <v>168</v>
      </c>
      <c r="F244" s="3"/>
      <c r="G244" s="3"/>
    </row>
    <row r="245" spans="1:7" ht="27.6">
      <c r="A245" s="3" t="s">
        <v>801</v>
      </c>
      <c r="B245" s="3" t="s">
        <v>802</v>
      </c>
      <c r="C245" s="3" t="s">
        <v>803</v>
      </c>
      <c r="D245" s="3" t="s">
        <v>186</v>
      </c>
      <c r="E245" s="3" t="s">
        <v>168</v>
      </c>
      <c r="F245" s="3"/>
      <c r="G245" s="3"/>
    </row>
    <row r="246" spans="1:7" ht="27.6">
      <c r="A246" s="3" t="s">
        <v>804</v>
      </c>
      <c r="B246" s="3" t="s">
        <v>805</v>
      </c>
      <c r="C246" s="3" t="s">
        <v>806</v>
      </c>
      <c r="D246" s="3" t="s">
        <v>186</v>
      </c>
      <c r="E246" s="3" t="s">
        <v>168</v>
      </c>
      <c r="F246" s="3"/>
      <c r="G246" s="3"/>
    </row>
    <row r="247" spans="1:7" ht="27.6">
      <c r="A247" s="3" t="s">
        <v>150</v>
      </c>
      <c r="B247" s="3" t="s">
        <v>807</v>
      </c>
      <c r="C247" s="3" t="s">
        <v>808</v>
      </c>
      <c r="D247" s="3" t="s">
        <v>186</v>
      </c>
      <c r="E247" s="3" t="s">
        <v>168</v>
      </c>
      <c r="F247" s="3"/>
      <c r="G247" s="3"/>
    </row>
    <row r="248" spans="1:7" ht="27.6">
      <c r="A248" s="3" t="s">
        <v>809</v>
      </c>
      <c r="B248" s="3" t="s">
        <v>810</v>
      </c>
      <c r="C248" s="3" t="s">
        <v>811</v>
      </c>
      <c r="D248" s="3" t="s">
        <v>186</v>
      </c>
      <c r="E248" s="3" t="s">
        <v>168</v>
      </c>
      <c r="F248" s="3"/>
      <c r="G248" s="3"/>
    </row>
    <row r="249" spans="1:7" ht="27.6">
      <c r="A249" s="3" t="s">
        <v>812</v>
      </c>
      <c r="B249" s="3" t="s">
        <v>813</v>
      </c>
      <c r="C249" s="3" t="s">
        <v>814</v>
      </c>
      <c r="D249" s="3" t="s">
        <v>186</v>
      </c>
      <c r="E249" s="3" t="s">
        <v>168</v>
      </c>
      <c r="F249" s="3"/>
      <c r="G249" s="3"/>
    </row>
    <row r="250" spans="1:7" ht="27.6">
      <c r="A250" s="3" t="s">
        <v>815</v>
      </c>
      <c r="B250" s="3" t="s">
        <v>816</v>
      </c>
      <c r="C250" s="3" t="s">
        <v>817</v>
      </c>
      <c r="D250" s="3" t="s">
        <v>186</v>
      </c>
      <c r="E250" s="3" t="s">
        <v>168</v>
      </c>
      <c r="F250" s="3"/>
      <c r="G250" s="3"/>
    </row>
    <row r="251" spans="1:7" ht="41.4">
      <c r="A251" s="3" t="s">
        <v>818</v>
      </c>
      <c r="B251" s="3" t="s">
        <v>819</v>
      </c>
      <c r="C251" s="3" t="s">
        <v>557</v>
      </c>
      <c r="D251" s="3" t="s">
        <v>178</v>
      </c>
      <c r="E251" s="3" t="s">
        <v>168</v>
      </c>
      <c r="F251" s="3"/>
      <c r="G251" s="3"/>
    </row>
    <row r="252" spans="1:7" ht="41.4">
      <c r="A252" s="3" t="s">
        <v>820</v>
      </c>
      <c r="B252" s="3" t="s">
        <v>821</v>
      </c>
      <c r="C252" s="3" t="s">
        <v>730</v>
      </c>
      <c r="D252" s="3" t="s">
        <v>178</v>
      </c>
      <c r="E252" s="3" t="s">
        <v>168</v>
      </c>
      <c r="F252" s="3"/>
      <c r="G252" s="3"/>
    </row>
    <row r="253" spans="1:7" ht="55.2">
      <c r="A253" s="3" t="s">
        <v>822</v>
      </c>
      <c r="B253" s="3" t="s">
        <v>823</v>
      </c>
      <c r="C253" s="3" t="s">
        <v>472</v>
      </c>
      <c r="D253" s="3" t="s">
        <v>178</v>
      </c>
      <c r="E253" s="3" t="s">
        <v>168</v>
      </c>
      <c r="F253" s="3"/>
      <c r="G253" s="3"/>
    </row>
    <row r="254" spans="1:7" ht="41.4">
      <c r="A254" s="3" t="s">
        <v>824</v>
      </c>
      <c r="B254" s="3" t="s">
        <v>825</v>
      </c>
      <c r="C254" s="3" t="s">
        <v>756</v>
      </c>
      <c r="D254" s="3" t="s">
        <v>178</v>
      </c>
      <c r="E254" s="3" t="s">
        <v>168</v>
      </c>
      <c r="F254" s="3"/>
      <c r="G254" s="3"/>
    </row>
    <row r="255" spans="1:7" ht="55.2">
      <c r="A255" s="3" t="s">
        <v>826</v>
      </c>
      <c r="B255" s="3" t="s">
        <v>827</v>
      </c>
      <c r="C255" s="3" t="s">
        <v>519</v>
      </c>
      <c r="D255" s="3" t="s">
        <v>178</v>
      </c>
      <c r="E255" s="3" t="s">
        <v>168</v>
      </c>
      <c r="F255" s="3"/>
      <c r="G255" s="3"/>
    </row>
    <row r="256" spans="1:7" ht="41.4">
      <c r="A256" s="3" t="s">
        <v>828</v>
      </c>
      <c r="B256" s="3" t="s">
        <v>829</v>
      </c>
      <c r="C256" s="3" t="s">
        <v>830</v>
      </c>
      <c r="D256" s="3" t="s">
        <v>178</v>
      </c>
      <c r="E256" s="3" t="s">
        <v>168</v>
      </c>
      <c r="F256" s="3"/>
      <c r="G256" s="3"/>
    </row>
    <row r="257" spans="1:7" ht="41.4">
      <c r="A257" s="3" t="s">
        <v>831</v>
      </c>
      <c r="B257" s="3" t="s">
        <v>832</v>
      </c>
      <c r="C257" s="3" t="s">
        <v>833</v>
      </c>
      <c r="D257" s="3" t="s">
        <v>178</v>
      </c>
      <c r="E257" s="3" t="s">
        <v>168</v>
      </c>
      <c r="F257" s="3"/>
      <c r="G257" s="3"/>
    </row>
    <row r="258" spans="1:7" ht="41.4">
      <c r="A258" s="3" t="s">
        <v>834</v>
      </c>
      <c r="B258" s="3" t="s">
        <v>835</v>
      </c>
      <c r="C258" s="3" t="s">
        <v>320</v>
      </c>
      <c r="D258" s="3" t="s">
        <v>178</v>
      </c>
      <c r="E258" s="3" t="s">
        <v>168</v>
      </c>
      <c r="F258" s="3"/>
      <c r="G258" s="3"/>
    </row>
    <row r="259" spans="1:7" ht="41.4">
      <c r="A259" s="3" t="s">
        <v>836</v>
      </c>
      <c r="B259" s="3" t="s">
        <v>837</v>
      </c>
      <c r="C259" s="3" t="s">
        <v>486</v>
      </c>
      <c r="D259" s="3" t="s">
        <v>178</v>
      </c>
      <c r="E259" s="3" t="s">
        <v>168</v>
      </c>
      <c r="F259" s="3"/>
      <c r="G259" s="3"/>
    </row>
    <row r="260" spans="1:7" ht="41.4">
      <c r="A260" s="3" t="s">
        <v>838</v>
      </c>
      <c r="B260" s="3" t="s">
        <v>839</v>
      </c>
      <c r="C260" s="3" t="s">
        <v>840</v>
      </c>
      <c r="D260" s="3" t="s">
        <v>178</v>
      </c>
      <c r="E260" s="3" t="s">
        <v>168</v>
      </c>
      <c r="F260" s="3"/>
      <c r="G260" s="3"/>
    </row>
    <row r="261" spans="1:7" ht="41.4">
      <c r="A261" s="3" t="s">
        <v>841</v>
      </c>
      <c r="B261" s="3" t="s">
        <v>842</v>
      </c>
      <c r="C261" s="3" t="s">
        <v>787</v>
      </c>
      <c r="D261" s="3" t="s">
        <v>178</v>
      </c>
      <c r="E261" s="3" t="s">
        <v>168</v>
      </c>
      <c r="F261" s="3"/>
      <c r="G261" s="3"/>
    </row>
    <row r="262" spans="1:7" ht="41.4">
      <c r="A262" s="3" t="s">
        <v>843</v>
      </c>
      <c r="B262" s="3" t="s">
        <v>844</v>
      </c>
      <c r="C262" s="3" t="s">
        <v>632</v>
      </c>
      <c r="D262" s="3" t="s">
        <v>178</v>
      </c>
      <c r="E262" s="3" t="s">
        <v>168</v>
      </c>
      <c r="F262" s="3"/>
      <c r="G262" s="3"/>
    </row>
    <row r="263" spans="1:7" ht="41.4">
      <c r="A263" s="3" t="s">
        <v>845</v>
      </c>
      <c r="B263" s="3" t="s">
        <v>846</v>
      </c>
      <c r="C263" s="3" t="s">
        <v>847</v>
      </c>
      <c r="D263" s="3" t="s">
        <v>178</v>
      </c>
      <c r="E263" s="3" t="s">
        <v>168</v>
      </c>
      <c r="F263" s="3"/>
      <c r="G263" s="3"/>
    </row>
    <row r="264" spans="1:7" ht="41.4">
      <c r="A264" s="3" t="s">
        <v>848</v>
      </c>
      <c r="B264" s="3" t="s">
        <v>849</v>
      </c>
      <c r="C264" s="3" t="s">
        <v>466</v>
      </c>
      <c r="D264" s="3" t="s">
        <v>178</v>
      </c>
      <c r="E264" s="3" t="s">
        <v>168</v>
      </c>
      <c r="F264" s="3"/>
      <c r="G264" s="3"/>
    </row>
    <row r="265" spans="1:7" ht="55.2">
      <c r="A265" s="3" t="s">
        <v>850</v>
      </c>
      <c r="B265" s="3" t="s">
        <v>851</v>
      </c>
      <c r="C265" s="3" t="s">
        <v>852</v>
      </c>
      <c r="D265" s="3" t="s">
        <v>178</v>
      </c>
      <c r="E265" s="3" t="s">
        <v>168</v>
      </c>
      <c r="F265" s="3"/>
      <c r="G265" s="3"/>
    </row>
    <row r="266" spans="1:7" ht="55.2">
      <c r="A266" s="3" t="s">
        <v>853</v>
      </c>
      <c r="B266" s="3" t="s">
        <v>854</v>
      </c>
      <c r="C266" s="3" t="s">
        <v>855</v>
      </c>
      <c r="D266" s="3" t="s">
        <v>178</v>
      </c>
      <c r="E266" s="3" t="s">
        <v>168</v>
      </c>
      <c r="F266" s="3"/>
      <c r="G266" s="3"/>
    </row>
    <row r="267" spans="1:7" ht="55.2">
      <c r="A267" s="3" t="s">
        <v>856</v>
      </c>
      <c r="B267" s="3" t="s">
        <v>857</v>
      </c>
      <c r="C267" s="3" t="s">
        <v>858</v>
      </c>
      <c r="D267" s="3" t="s">
        <v>178</v>
      </c>
      <c r="E267" s="3" t="s">
        <v>168</v>
      </c>
      <c r="F267" s="3"/>
      <c r="G267" s="3"/>
    </row>
    <row r="268" spans="1:7" ht="41.4">
      <c r="A268" s="3" t="s">
        <v>859</v>
      </c>
      <c r="B268" s="3" t="s">
        <v>860</v>
      </c>
      <c r="C268" s="3" t="s">
        <v>861</v>
      </c>
      <c r="D268" s="3" t="s">
        <v>178</v>
      </c>
      <c r="E268" s="3" t="s">
        <v>168</v>
      </c>
      <c r="F268" s="3"/>
      <c r="G268" s="3"/>
    </row>
    <row r="269" spans="1:7" ht="41.4">
      <c r="A269" s="3" t="s">
        <v>862</v>
      </c>
      <c r="B269" s="3" t="s">
        <v>863</v>
      </c>
      <c r="C269" s="3" t="s">
        <v>864</v>
      </c>
      <c r="D269" s="3" t="s">
        <v>178</v>
      </c>
      <c r="E269" s="3" t="s">
        <v>168</v>
      </c>
      <c r="F269" s="3"/>
      <c r="G269" s="3"/>
    </row>
    <row r="270" spans="1:7" ht="41.4">
      <c r="A270" s="3" t="s">
        <v>865</v>
      </c>
      <c r="B270" s="3" t="s">
        <v>866</v>
      </c>
      <c r="C270" s="3" t="s">
        <v>867</v>
      </c>
      <c r="D270" s="3" t="s">
        <v>178</v>
      </c>
      <c r="E270" s="3" t="s">
        <v>168</v>
      </c>
      <c r="F270" s="3"/>
      <c r="G270" s="3"/>
    </row>
    <row r="271" spans="1:7" ht="27.6">
      <c r="A271" s="3" t="s">
        <v>868</v>
      </c>
      <c r="B271" s="3" t="s">
        <v>869</v>
      </c>
      <c r="C271" s="3" t="s">
        <v>345</v>
      </c>
      <c r="D271" s="3" t="s">
        <v>190</v>
      </c>
      <c r="E271" s="3" t="s">
        <v>168</v>
      </c>
      <c r="F271" s="3"/>
      <c r="G271" s="3"/>
    </row>
    <row r="272" spans="1:7" ht="27.6">
      <c r="A272" s="3" t="s">
        <v>870</v>
      </c>
      <c r="B272" s="3" t="s">
        <v>871</v>
      </c>
      <c r="C272" s="3" t="s">
        <v>345</v>
      </c>
      <c r="D272" s="3" t="s">
        <v>285</v>
      </c>
      <c r="E272" s="3" t="s">
        <v>168</v>
      </c>
      <c r="F272" s="3"/>
      <c r="G272" s="3"/>
    </row>
    <row r="273" spans="1:7" ht="27.6">
      <c r="A273" s="3" t="s">
        <v>872</v>
      </c>
      <c r="B273" s="3" t="s">
        <v>873</v>
      </c>
      <c r="C273" s="3" t="s">
        <v>244</v>
      </c>
      <c r="D273" s="3" t="s">
        <v>279</v>
      </c>
      <c r="E273" s="3" t="s">
        <v>168</v>
      </c>
      <c r="F273" s="3"/>
      <c r="G273" s="3"/>
    </row>
    <row r="274" spans="1:7" ht="41.4">
      <c r="A274" s="3" t="s">
        <v>874</v>
      </c>
      <c r="B274" s="3" t="s">
        <v>875</v>
      </c>
      <c r="C274" s="3" t="s">
        <v>876</v>
      </c>
      <c r="D274" s="3" t="s">
        <v>303</v>
      </c>
      <c r="E274" s="3" t="s">
        <v>168</v>
      </c>
      <c r="F274" s="3"/>
      <c r="G274" s="3"/>
    </row>
    <row r="275" spans="1:7" ht="27.6">
      <c r="A275" s="3" t="s">
        <v>877</v>
      </c>
      <c r="B275" s="3" t="s">
        <v>878</v>
      </c>
      <c r="C275" s="3" t="s">
        <v>345</v>
      </c>
      <c r="D275" s="3" t="s">
        <v>420</v>
      </c>
      <c r="E275" s="3" t="s">
        <v>168</v>
      </c>
      <c r="F275" s="3"/>
      <c r="G275" s="3"/>
    </row>
    <row r="276" spans="1:7" ht="27.6">
      <c r="A276" s="3" t="s">
        <v>879</v>
      </c>
      <c r="B276" s="3" t="s">
        <v>880</v>
      </c>
      <c r="C276" s="3" t="s">
        <v>268</v>
      </c>
      <c r="D276" s="3" t="s">
        <v>178</v>
      </c>
      <c r="E276" s="3" t="s">
        <v>168</v>
      </c>
      <c r="F276" s="3"/>
      <c r="G276" s="3"/>
    </row>
    <row r="277" spans="1:7" ht="27.6">
      <c r="A277" s="3" t="s">
        <v>881</v>
      </c>
      <c r="B277" s="3" t="s">
        <v>882</v>
      </c>
      <c r="C277" s="3" t="s">
        <v>240</v>
      </c>
      <c r="D277" s="3" t="s">
        <v>346</v>
      </c>
      <c r="E277" s="3" t="s">
        <v>168</v>
      </c>
      <c r="F277" s="3"/>
      <c r="G277" s="3"/>
    </row>
    <row r="278" spans="1:7" ht="27.6">
      <c r="A278" s="3" t="s">
        <v>883</v>
      </c>
      <c r="B278" s="3" t="s">
        <v>884</v>
      </c>
      <c r="C278" s="3" t="s">
        <v>189</v>
      </c>
      <c r="D278" s="3" t="s">
        <v>420</v>
      </c>
      <c r="E278" s="3" t="s">
        <v>168</v>
      </c>
      <c r="F278" s="3"/>
      <c r="G278" s="3"/>
    </row>
    <row r="279" spans="1:7" ht="27.6">
      <c r="A279" s="3" t="s">
        <v>885</v>
      </c>
      <c r="B279" s="3" t="s">
        <v>886</v>
      </c>
      <c r="C279" s="3" t="s">
        <v>240</v>
      </c>
      <c r="D279" s="3" t="s">
        <v>167</v>
      </c>
      <c r="E279" s="3" t="s">
        <v>168</v>
      </c>
      <c r="F279" s="3"/>
      <c r="G279" s="3"/>
    </row>
    <row r="280" spans="1:7" ht="27.6">
      <c r="A280" s="3" t="s">
        <v>887</v>
      </c>
      <c r="B280" s="3" t="s">
        <v>888</v>
      </c>
      <c r="C280" s="3" t="s">
        <v>889</v>
      </c>
      <c r="D280" s="3" t="s">
        <v>303</v>
      </c>
      <c r="E280" s="3" t="s">
        <v>168</v>
      </c>
      <c r="F280" s="3"/>
      <c r="G280" s="3"/>
    </row>
    <row r="281" spans="1:7" ht="27.6">
      <c r="A281" s="3" t="s">
        <v>890</v>
      </c>
      <c r="B281" s="3" t="s">
        <v>891</v>
      </c>
      <c r="C281" s="3" t="s">
        <v>516</v>
      </c>
      <c r="D281" s="3" t="s">
        <v>371</v>
      </c>
      <c r="E281" s="3" t="s">
        <v>168</v>
      </c>
      <c r="F281" s="3"/>
      <c r="G281" s="3"/>
    </row>
    <row r="282" spans="1:7" ht="27.6">
      <c r="A282" s="3" t="s">
        <v>892</v>
      </c>
      <c r="B282" s="3" t="s">
        <v>893</v>
      </c>
      <c r="C282" s="3" t="s">
        <v>244</v>
      </c>
      <c r="D282" s="3" t="s">
        <v>330</v>
      </c>
      <c r="E282" s="3" t="s">
        <v>168</v>
      </c>
      <c r="F282" s="3"/>
      <c r="G282" s="3"/>
    </row>
    <row r="283" spans="1:7" ht="27.6">
      <c r="A283" s="3" t="s">
        <v>894</v>
      </c>
      <c r="B283" s="3" t="s">
        <v>895</v>
      </c>
      <c r="C283" s="3" t="s">
        <v>240</v>
      </c>
      <c r="D283" s="3" t="s">
        <v>190</v>
      </c>
      <c r="E283" s="3" t="s">
        <v>168</v>
      </c>
      <c r="F283" s="3"/>
      <c r="G283" s="3"/>
    </row>
    <row r="284" spans="1:7" ht="27.6">
      <c r="A284" s="3" t="s">
        <v>896</v>
      </c>
      <c r="B284" s="3" t="s">
        <v>897</v>
      </c>
      <c r="C284" s="3" t="s">
        <v>898</v>
      </c>
      <c r="D284" s="3" t="s">
        <v>288</v>
      </c>
      <c r="E284" s="3" t="s">
        <v>168</v>
      </c>
      <c r="F284" s="3"/>
      <c r="G284" s="3"/>
    </row>
    <row r="285" spans="1:7" ht="27.6">
      <c r="A285" s="3" t="s">
        <v>899</v>
      </c>
      <c r="B285" s="3" t="s">
        <v>900</v>
      </c>
      <c r="C285" s="3" t="s">
        <v>244</v>
      </c>
      <c r="D285" s="3" t="s">
        <v>346</v>
      </c>
      <c r="E285" s="3" t="s">
        <v>168</v>
      </c>
      <c r="F285" s="3"/>
      <c r="G285" s="3"/>
    </row>
    <row r="286" spans="1:7" ht="27.6">
      <c r="A286" s="3" t="s">
        <v>901</v>
      </c>
      <c r="B286" s="3" t="s">
        <v>902</v>
      </c>
      <c r="C286" s="3" t="s">
        <v>196</v>
      </c>
      <c r="D286" s="3" t="s">
        <v>178</v>
      </c>
      <c r="E286" s="3" t="s">
        <v>168</v>
      </c>
      <c r="F286" s="3"/>
      <c r="G286" s="3"/>
    </row>
    <row r="287" spans="1:7" ht="27.6">
      <c r="A287" s="3" t="s">
        <v>903</v>
      </c>
      <c r="B287" s="3" t="s">
        <v>904</v>
      </c>
      <c r="C287" s="3" t="s">
        <v>905</v>
      </c>
      <c r="D287" s="3" t="s">
        <v>229</v>
      </c>
      <c r="E287" s="3" t="s">
        <v>168</v>
      </c>
      <c r="F287" s="3"/>
      <c r="G287" s="3"/>
    </row>
    <row r="288" spans="1:7" ht="27.6">
      <c r="A288" s="3" t="s">
        <v>906</v>
      </c>
      <c r="B288" s="3" t="s">
        <v>907</v>
      </c>
      <c r="C288" s="3" t="s">
        <v>244</v>
      </c>
      <c r="D288" s="3" t="s">
        <v>253</v>
      </c>
      <c r="E288" s="3" t="s">
        <v>168</v>
      </c>
      <c r="F288" s="3"/>
      <c r="G288" s="3"/>
    </row>
    <row r="289" spans="1:7" ht="27.6">
      <c r="A289" s="3" t="s">
        <v>908</v>
      </c>
      <c r="B289" s="3" t="s">
        <v>909</v>
      </c>
      <c r="C289" s="3" t="s">
        <v>345</v>
      </c>
      <c r="D289" s="3" t="s">
        <v>371</v>
      </c>
      <c r="E289" s="3" t="s">
        <v>168</v>
      </c>
      <c r="F289" s="3"/>
      <c r="G289" s="3"/>
    </row>
    <row r="290" spans="1:7" ht="27.6">
      <c r="A290" s="3" t="s">
        <v>910</v>
      </c>
      <c r="B290" s="3" t="s">
        <v>911</v>
      </c>
      <c r="C290" s="3" t="s">
        <v>912</v>
      </c>
      <c r="D290" s="3" t="s">
        <v>186</v>
      </c>
      <c r="E290" s="3" t="s">
        <v>168</v>
      </c>
      <c r="F290" s="3"/>
      <c r="G290" s="3"/>
    </row>
    <row r="291" spans="1:7" ht="27.6">
      <c r="A291" s="3" t="s">
        <v>913</v>
      </c>
      <c r="B291" s="3" t="s">
        <v>914</v>
      </c>
      <c r="C291" s="3" t="s">
        <v>268</v>
      </c>
      <c r="D291" s="3" t="s">
        <v>297</v>
      </c>
      <c r="E291" s="3" t="s">
        <v>168</v>
      </c>
      <c r="F291" s="3"/>
      <c r="G291" s="3"/>
    </row>
    <row r="292" spans="1:7" ht="27.6">
      <c r="A292" s="3" t="s">
        <v>915</v>
      </c>
      <c r="B292" s="3" t="s">
        <v>916</v>
      </c>
      <c r="C292" s="3" t="s">
        <v>917</v>
      </c>
      <c r="D292" s="3" t="s">
        <v>186</v>
      </c>
      <c r="E292" s="3" t="s">
        <v>168</v>
      </c>
      <c r="F292" s="3"/>
      <c r="G292" s="3"/>
    </row>
    <row r="293" spans="1:7" ht="41.4">
      <c r="A293" s="3" t="s">
        <v>918</v>
      </c>
      <c r="B293" s="3" t="s">
        <v>919</v>
      </c>
      <c r="C293" s="3" t="s">
        <v>840</v>
      </c>
      <c r="D293" s="3" t="s">
        <v>178</v>
      </c>
      <c r="E293" s="3" t="s">
        <v>168</v>
      </c>
      <c r="F293" s="3"/>
      <c r="G293" s="3"/>
    </row>
    <row r="294" spans="1:7" ht="27.6">
      <c r="A294" s="3" t="s">
        <v>920</v>
      </c>
      <c r="B294" s="3" t="s">
        <v>921</v>
      </c>
      <c r="C294" s="3" t="s">
        <v>244</v>
      </c>
      <c r="D294" s="3" t="s">
        <v>276</v>
      </c>
      <c r="E294" s="3" t="s">
        <v>168</v>
      </c>
      <c r="F294" s="3"/>
      <c r="G294" s="3"/>
    </row>
    <row r="295" spans="1:7" ht="27.6">
      <c r="A295" s="3" t="s">
        <v>922</v>
      </c>
      <c r="B295" s="3" t="s">
        <v>923</v>
      </c>
      <c r="C295" s="3" t="s">
        <v>244</v>
      </c>
      <c r="D295" s="3" t="s">
        <v>197</v>
      </c>
      <c r="E295" s="3" t="s">
        <v>168</v>
      </c>
      <c r="F295" s="3"/>
      <c r="G295" s="3"/>
    </row>
    <row r="296" spans="1:7" ht="27.6">
      <c r="A296" s="3" t="s">
        <v>924</v>
      </c>
      <c r="B296" s="3" t="s">
        <v>925</v>
      </c>
      <c r="C296" s="3" t="s">
        <v>345</v>
      </c>
      <c r="D296" s="3" t="s">
        <v>248</v>
      </c>
      <c r="E296" s="3" t="s">
        <v>168</v>
      </c>
      <c r="F296" s="3"/>
      <c r="G296" s="3"/>
    </row>
    <row r="297" spans="1:7" ht="27.6">
      <c r="A297" s="3" t="s">
        <v>926</v>
      </c>
      <c r="B297" s="3" t="s">
        <v>927</v>
      </c>
      <c r="C297" s="3" t="s">
        <v>172</v>
      </c>
      <c r="D297" s="3" t="s">
        <v>330</v>
      </c>
      <c r="E297" s="3" t="s">
        <v>168</v>
      </c>
      <c r="F297" s="3"/>
      <c r="G297" s="3"/>
    </row>
    <row r="298" spans="1:7" ht="27.6">
      <c r="A298" s="3" t="s">
        <v>928</v>
      </c>
      <c r="B298" s="3" t="s">
        <v>929</v>
      </c>
      <c r="C298" s="3" t="s">
        <v>516</v>
      </c>
      <c r="D298" s="3" t="s">
        <v>193</v>
      </c>
      <c r="E298" s="3" t="s">
        <v>168</v>
      </c>
      <c r="F298" s="3"/>
      <c r="G298" s="3"/>
    </row>
    <row r="299" spans="1:7" ht="27.6">
      <c r="A299" s="3" t="s">
        <v>930</v>
      </c>
      <c r="B299" s="3" t="s">
        <v>931</v>
      </c>
      <c r="C299" s="3" t="s">
        <v>932</v>
      </c>
      <c r="D299" s="3" t="s">
        <v>186</v>
      </c>
      <c r="E299" s="3" t="s">
        <v>168</v>
      </c>
      <c r="F299" s="3"/>
      <c r="G299" s="3"/>
    </row>
    <row r="300" spans="1:7" ht="27.6">
      <c r="A300" s="3" t="s">
        <v>933</v>
      </c>
      <c r="B300" s="3" t="s">
        <v>934</v>
      </c>
      <c r="C300" s="3" t="s">
        <v>217</v>
      </c>
      <c r="D300" s="3" t="s">
        <v>285</v>
      </c>
      <c r="E300" s="3" t="s">
        <v>168</v>
      </c>
      <c r="F300" s="3"/>
      <c r="G300" s="3"/>
    </row>
    <row r="301" spans="1:7" ht="27.6">
      <c r="A301" s="3" t="s">
        <v>935</v>
      </c>
      <c r="B301" s="3" t="s">
        <v>936</v>
      </c>
      <c r="C301" s="3" t="s">
        <v>937</v>
      </c>
      <c r="D301" s="3" t="s">
        <v>204</v>
      </c>
      <c r="E301" s="3" t="s">
        <v>168</v>
      </c>
      <c r="F301" s="3"/>
      <c r="G301" s="3"/>
    </row>
    <row r="302" spans="1:7" ht="41.4">
      <c r="A302" s="3" t="s">
        <v>938</v>
      </c>
      <c r="B302" s="3" t="s">
        <v>939</v>
      </c>
      <c r="C302" s="3" t="s">
        <v>833</v>
      </c>
      <c r="D302" s="3" t="s">
        <v>178</v>
      </c>
      <c r="E302" s="3" t="s">
        <v>168</v>
      </c>
      <c r="F302" s="3"/>
      <c r="G302" s="3"/>
    </row>
    <row r="303" spans="1:7" ht="27.6">
      <c r="A303" s="3" t="s">
        <v>940</v>
      </c>
      <c r="B303" s="3" t="s">
        <v>941</v>
      </c>
      <c r="C303" s="3" t="s">
        <v>200</v>
      </c>
      <c r="D303" s="3" t="s">
        <v>420</v>
      </c>
      <c r="E303" s="3" t="s">
        <v>168</v>
      </c>
      <c r="F303" s="3"/>
      <c r="G303" s="3"/>
    </row>
    <row r="304" spans="1:7" ht="27.6">
      <c r="A304" s="3" t="s">
        <v>942</v>
      </c>
      <c r="B304" s="3" t="s">
        <v>943</v>
      </c>
      <c r="C304" s="3" t="s">
        <v>741</v>
      </c>
      <c r="D304" s="3" t="s">
        <v>186</v>
      </c>
      <c r="E304" s="3" t="s">
        <v>168</v>
      </c>
      <c r="F304" s="3"/>
      <c r="G304" s="3"/>
    </row>
    <row r="305" spans="1:7" ht="27.6">
      <c r="A305" s="3" t="s">
        <v>944</v>
      </c>
      <c r="B305" s="3" t="s">
        <v>945</v>
      </c>
      <c r="C305" s="3" t="s">
        <v>217</v>
      </c>
      <c r="D305" s="3" t="s">
        <v>241</v>
      </c>
      <c r="E305" s="3" t="s">
        <v>168</v>
      </c>
      <c r="F305" s="3"/>
      <c r="G305" s="3"/>
    </row>
    <row r="306" spans="1:7" ht="27.6">
      <c r="A306" s="3" t="s">
        <v>946</v>
      </c>
      <c r="B306" s="3" t="s">
        <v>947</v>
      </c>
      <c r="C306" s="3" t="s">
        <v>948</v>
      </c>
      <c r="D306" s="3" t="s">
        <v>204</v>
      </c>
      <c r="E306" s="3" t="s">
        <v>205</v>
      </c>
      <c r="F306" s="3"/>
      <c r="G306" s="3"/>
    </row>
    <row r="307" spans="1:7" ht="27.6">
      <c r="A307" s="3" t="s">
        <v>949</v>
      </c>
      <c r="B307" s="3" t="s">
        <v>950</v>
      </c>
      <c r="C307" s="3" t="s">
        <v>244</v>
      </c>
      <c r="D307" s="3" t="s">
        <v>475</v>
      </c>
      <c r="E307" s="3" t="s">
        <v>168</v>
      </c>
      <c r="F307" s="3"/>
      <c r="G307" s="3"/>
    </row>
    <row r="308" spans="1:7" ht="27.6">
      <c r="A308" s="3" t="s">
        <v>951</v>
      </c>
      <c r="B308" s="3" t="s">
        <v>952</v>
      </c>
      <c r="C308" s="3" t="s">
        <v>217</v>
      </c>
      <c r="D308" s="3" t="s">
        <v>190</v>
      </c>
      <c r="E308" s="3" t="s">
        <v>168</v>
      </c>
      <c r="F308" s="3"/>
      <c r="G308" s="3"/>
    </row>
    <row r="309" spans="1:7" ht="27.6">
      <c r="A309" s="3" t="s">
        <v>953</v>
      </c>
      <c r="B309" s="3" t="s">
        <v>954</v>
      </c>
      <c r="C309" s="3" t="s">
        <v>172</v>
      </c>
      <c r="D309" s="3" t="s">
        <v>190</v>
      </c>
      <c r="E309" s="3" t="s">
        <v>168</v>
      </c>
      <c r="F309" s="3"/>
      <c r="G309" s="3"/>
    </row>
    <row r="310" spans="1:7" ht="27.6">
      <c r="A310" s="3" t="s">
        <v>955</v>
      </c>
      <c r="B310" s="3" t="s">
        <v>956</v>
      </c>
      <c r="C310" s="3" t="s">
        <v>200</v>
      </c>
      <c r="D310" s="3" t="s">
        <v>303</v>
      </c>
      <c r="E310" s="3" t="s">
        <v>168</v>
      </c>
      <c r="F310" s="3"/>
      <c r="G310" s="3"/>
    </row>
    <row r="311" spans="1:7" ht="27.6">
      <c r="A311" s="3" t="s">
        <v>957</v>
      </c>
      <c r="B311" s="3" t="s">
        <v>958</v>
      </c>
      <c r="C311" s="3" t="s">
        <v>959</v>
      </c>
      <c r="D311" s="3" t="s">
        <v>288</v>
      </c>
      <c r="E311" s="3" t="s">
        <v>168</v>
      </c>
      <c r="F311" s="3"/>
      <c r="G311" s="3"/>
    </row>
    <row r="312" spans="1:7" ht="27.6">
      <c r="A312" s="3" t="s">
        <v>960</v>
      </c>
      <c r="B312" s="3" t="s">
        <v>961</v>
      </c>
      <c r="C312" s="3" t="s">
        <v>962</v>
      </c>
      <c r="D312" s="3" t="s">
        <v>186</v>
      </c>
      <c r="E312" s="3" t="s">
        <v>168</v>
      </c>
      <c r="F312" s="3"/>
      <c r="G312" s="3"/>
    </row>
    <row r="313" spans="1:7" ht="55.2">
      <c r="A313" s="3" t="s">
        <v>963</v>
      </c>
      <c r="B313" s="3" t="s">
        <v>964</v>
      </c>
      <c r="C313" s="3" t="s">
        <v>965</v>
      </c>
      <c r="D313" s="3" t="s">
        <v>186</v>
      </c>
      <c r="E313" s="3" t="s">
        <v>168</v>
      </c>
      <c r="F313" s="3"/>
      <c r="G313" s="3"/>
    </row>
    <row r="314" spans="1:7" ht="27.6">
      <c r="A314" s="3" t="s">
        <v>966</v>
      </c>
      <c r="B314" s="3" t="s">
        <v>967</v>
      </c>
      <c r="C314" s="3" t="s">
        <v>268</v>
      </c>
      <c r="D314" s="3" t="s">
        <v>279</v>
      </c>
      <c r="E314" s="3" t="s">
        <v>168</v>
      </c>
      <c r="F314" s="3"/>
      <c r="G314" s="3"/>
    </row>
    <row r="315" spans="1:7" ht="27.6">
      <c r="A315" s="3" t="s">
        <v>968</v>
      </c>
      <c r="B315" s="3" t="s">
        <v>969</v>
      </c>
      <c r="C315" s="3" t="s">
        <v>244</v>
      </c>
      <c r="D315" s="3" t="s">
        <v>214</v>
      </c>
      <c r="E315" s="3" t="s">
        <v>168</v>
      </c>
      <c r="F315" s="3"/>
      <c r="G315" s="3"/>
    </row>
    <row r="316" spans="1:7" ht="27.6">
      <c r="A316" s="3" t="s">
        <v>970</v>
      </c>
      <c r="B316" s="3" t="s">
        <v>971</v>
      </c>
      <c r="C316" s="3" t="s">
        <v>972</v>
      </c>
      <c r="D316" s="3" t="s">
        <v>186</v>
      </c>
      <c r="E316" s="3" t="s">
        <v>168</v>
      </c>
      <c r="F316" s="3"/>
      <c r="G316" s="3"/>
    </row>
    <row r="317" spans="1:7" ht="27.6">
      <c r="A317" s="3" t="s">
        <v>973</v>
      </c>
      <c r="B317" s="3" t="s">
        <v>974</v>
      </c>
      <c r="C317" s="3" t="s">
        <v>172</v>
      </c>
      <c r="D317" s="3" t="s">
        <v>276</v>
      </c>
      <c r="E317" s="3" t="s">
        <v>168</v>
      </c>
      <c r="F317" s="3"/>
      <c r="G317" s="3"/>
    </row>
    <row r="318" spans="1:7" ht="27.6">
      <c r="A318" s="3" t="s">
        <v>975</v>
      </c>
      <c r="B318" s="3" t="s">
        <v>976</v>
      </c>
      <c r="C318" s="3" t="s">
        <v>217</v>
      </c>
      <c r="D318" s="3" t="s">
        <v>276</v>
      </c>
      <c r="E318" s="3" t="s">
        <v>168</v>
      </c>
      <c r="F318" s="3"/>
      <c r="G318" s="3"/>
    </row>
    <row r="319" spans="1:7" ht="55.2">
      <c r="A319" s="3" t="s">
        <v>977</v>
      </c>
      <c r="B319" s="3" t="s">
        <v>978</v>
      </c>
      <c r="C319" s="3" t="s">
        <v>979</v>
      </c>
      <c r="D319" s="3" t="s">
        <v>186</v>
      </c>
      <c r="E319" s="3" t="s">
        <v>168</v>
      </c>
      <c r="F319" s="3"/>
      <c r="G319" s="3"/>
    </row>
    <row r="320" spans="1:7" ht="27.6">
      <c r="A320" s="3" t="s">
        <v>980</v>
      </c>
      <c r="B320" s="3" t="s">
        <v>981</v>
      </c>
      <c r="C320" s="3" t="s">
        <v>172</v>
      </c>
      <c r="D320" s="3" t="s">
        <v>248</v>
      </c>
      <c r="E320" s="3" t="s">
        <v>168</v>
      </c>
      <c r="F320" s="3"/>
      <c r="G320" s="3"/>
    </row>
    <row r="321" spans="1:7" ht="27.6">
      <c r="A321" s="3" t="s">
        <v>982</v>
      </c>
      <c r="B321" s="3" t="s">
        <v>983</v>
      </c>
      <c r="C321" s="3" t="s">
        <v>984</v>
      </c>
      <c r="D321" s="3" t="s">
        <v>186</v>
      </c>
      <c r="E321" s="3" t="s">
        <v>168</v>
      </c>
      <c r="F321" s="3"/>
      <c r="G321" s="3"/>
    </row>
    <row r="322" spans="1:7" ht="27.6">
      <c r="A322" s="3" t="s">
        <v>985</v>
      </c>
      <c r="B322" s="3" t="s">
        <v>986</v>
      </c>
      <c r="C322" s="3" t="s">
        <v>200</v>
      </c>
      <c r="D322" s="3" t="s">
        <v>241</v>
      </c>
      <c r="E322" s="3" t="s">
        <v>168</v>
      </c>
      <c r="F322" s="3"/>
      <c r="G322" s="3"/>
    </row>
    <row r="323" spans="1:7" ht="27.6">
      <c r="A323" s="3" t="s">
        <v>987</v>
      </c>
      <c r="B323" s="3" t="s">
        <v>988</v>
      </c>
      <c r="C323" s="3" t="s">
        <v>200</v>
      </c>
      <c r="D323" s="3" t="s">
        <v>363</v>
      </c>
      <c r="E323" s="3" t="s">
        <v>168</v>
      </c>
      <c r="F323" s="3"/>
      <c r="G323" s="3"/>
    </row>
    <row r="324" spans="1:7" ht="27.6">
      <c r="A324" s="3" t="s">
        <v>989</v>
      </c>
      <c r="B324" s="3" t="s">
        <v>990</v>
      </c>
      <c r="C324" s="3" t="s">
        <v>991</v>
      </c>
      <c r="D324" s="3" t="s">
        <v>204</v>
      </c>
      <c r="E324" s="3" t="s">
        <v>205</v>
      </c>
      <c r="F324" s="3"/>
      <c r="G324" s="3"/>
    </row>
    <row r="325" spans="1:7" ht="27.6">
      <c r="A325" s="3" t="s">
        <v>992</v>
      </c>
      <c r="B325" s="3" t="s">
        <v>993</v>
      </c>
      <c r="C325" s="3" t="s">
        <v>172</v>
      </c>
      <c r="D325" s="3" t="s">
        <v>475</v>
      </c>
      <c r="E325" s="3" t="s">
        <v>168</v>
      </c>
      <c r="F325" s="3"/>
      <c r="G325" s="3"/>
    </row>
    <row r="326" spans="1:7" ht="27.6">
      <c r="A326" s="3" t="s">
        <v>994</v>
      </c>
      <c r="B326" s="3" t="s">
        <v>995</v>
      </c>
      <c r="C326" s="3" t="s">
        <v>217</v>
      </c>
      <c r="D326" s="3" t="s">
        <v>371</v>
      </c>
      <c r="E326" s="3" t="s">
        <v>168</v>
      </c>
      <c r="F326" s="3"/>
      <c r="G326" s="3"/>
    </row>
    <row r="327" spans="1:7" ht="27.6">
      <c r="A327" s="3" t="s">
        <v>996</v>
      </c>
      <c r="B327" s="3" t="s">
        <v>997</v>
      </c>
      <c r="C327" s="3" t="s">
        <v>200</v>
      </c>
      <c r="D327" s="3" t="s">
        <v>193</v>
      </c>
      <c r="E327" s="3" t="s">
        <v>168</v>
      </c>
      <c r="F327" s="3"/>
      <c r="G327" s="3"/>
    </row>
    <row r="328" spans="1:7" ht="27.6">
      <c r="A328" s="3" t="s">
        <v>998</v>
      </c>
      <c r="B328" s="3" t="s">
        <v>999</v>
      </c>
      <c r="C328" s="3" t="s">
        <v>1000</v>
      </c>
      <c r="D328" s="3" t="s">
        <v>186</v>
      </c>
      <c r="E328" s="3" t="s">
        <v>168</v>
      </c>
      <c r="F328" s="3"/>
      <c r="G328" s="3"/>
    </row>
    <row r="329" spans="1:7" ht="27.6">
      <c r="A329" s="3" t="s">
        <v>1001</v>
      </c>
      <c r="B329" s="3" t="s">
        <v>1002</v>
      </c>
      <c r="C329" s="3" t="s">
        <v>189</v>
      </c>
      <c r="D329" s="3" t="s">
        <v>167</v>
      </c>
      <c r="E329" s="3" t="s">
        <v>168</v>
      </c>
      <c r="F329" s="3"/>
      <c r="G329" s="3"/>
    </row>
    <row r="330" spans="1:7" ht="27.6">
      <c r="A330" s="3" t="s">
        <v>1003</v>
      </c>
      <c r="B330" s="3" t="s">
        <v>1004</v>
      </c>
      <c r="C330" s="3" t="s">
        <v>172</v>
      </c>
      <c r="D330" s="3" t="s">
        <v>303</v>
      </c>
      <c r="E330" s="3" t="s">
        <v>168</v>
      </c>
      <c r="F330" s="3"/>
      <c r="G330" s="3"/>
    </row>
    <row r="331" spans="1:7" ht="27.6">
      <c r="A331" s="3" t="s">
        <v>1005</v>
      </c>
      <c r="B331" s="3" t="s">
        <v>1006</v>
      </c>
      <c r="C331" s="3" t="s">
        <v>1007</v>
      </c>
      <c r="D331" s="3" t="s">
        <v>186</v>
      </c>
      <c r="E331" s="3" t="s">
        <v>168</v>
      </c>
      <c r="F331" s="3"/>
      <c r="G331" s="3"/>
    </row>
    <row r="332" spans="1:7" ht="27.6">
      <c r="A332" s="3" t="s">
        <v>1008</v>
      </c>
      <c r="B332" s="3" t="s">
        <v>1009</v>
      </c>
      <c r="C332" s="3" t="s">
        <v>189</v>
      </c>
      <c r="D332" s="3" t="s">
        <v>248</v>
      </c>
      <c r="E332" s="3" t="s">
        <v>168</v>
      </c>
      <c r="F332" s="3"/>
      <c r="G332" s="3"/>
    </row>
    <row r="333" spans="1:7" ht="41.4">
      <c r="A333" s="3" t="s">
        <v>1010</v>
      </c>
      <c r="B333" s="3" t="s">
        <v>1011</v>
      </c>
      <c r="C333" s="3" t="s">
        <v>1012</v>
      </c>
      <c r="D333" s="3" t="s">
        <v>204</v>
      </c>
      <c r="E333" s="3" t="s">
        <v>168</v>
      </c>
      <c r="F333" s="3"/>
      <c r="G333" s="3"/>
    </row>
    <row r="334" spans="1:7" ht="27.6">
      <c r="A334" s="3" t="s">
        <v>1013</v>
      </c>
      <c r="B334" s="3" t="s">
        <v>1014</v>
      </c>
      <c r="C334" s="3" t="s">
        <v>1015</v>
      </c>
      <c r="D334" s="3" t="s">
        <v>186</v>
      </c>
      <c r="E334" s="3" t="s">
        <v>168</v>
      </c>
      <c r="F334" s="3"/>
      <c r="G334" s="3"/>
    </row>
    <row r="335" spans="1:7" ht="27.6">
      <c r="A335" s="3" t="s">
        <v>1016</v>
      </c>
      <c r="B335" s="3" t="s">
        <v>1017</v>
      </c>
      <c r="C335" s="3" t="s">
        <v>172</v>
      </c>
      <c r="D335" s="3" t="s">
        <v>297</v>
      </c>
      <c r="E335" s="3" t="s">
        <v>168</v>
      </c>
      <c r="F335" s="3"/>
      <c r="G335" s="3"/>
    </row>
    <row r="336" spans="1:7" ht="27.6">
      <c r="A336" s="3" t="s">
        <v>1018</v>
      </c>
      <c r="B336" s="3" t="s">
        <v>1019</v>
      </c>
      <c r="C336" s="3" t="s">
        <v>262</v>
      </c>
      <c r="D336" s="3" t="s">
        <v>297</v>
      </c>
      <c r="E336" s="3" t="s">
        <v>168</v>
      </c>
      <c r="F336" s="3"/>
      <c r="G336" s="3"/>
    </row>
    <row r="337" spans="1:7" ht="27.6">
      <c r="A337" s="3" t="s">
        <v>1020</v>
      </c>
      <c r="B337" s="3" t="s">
        <v>1021</v>
      </c>
      <c r="C337" s="3" t="s">
        <v>196</v>
      </c>
      <c r="D337" s="3" t="s">
        <v>360</v>
      </c>
      <c r="E337" s="3" t="s">
        <v>168</v>
      </c>
      <c r="F337" s="3"/>
      <c r="G337" s="3"/>
    </row>
    <row r="338" spans="1:7" ht="27.6">
      <c r="A338" s="3" t="s">
        <v>1022</v>
      </c>
      <c r="B338" s="3" t="s">
        <v>1023</v>
      </c>
      <c r="C338" s="3" t="s">
        <v>240</v>
      </c>
      <c r="D338" s="3" t="s">
        <v>360</v>
      </c>
      <c r="E338" s="3" t="s">
        <v>168</v>
      </c>
      <c r="F338" s="3"/>
      <c r="G338" s="3"/>
    </row>
    <row r="339" spans="1:7" ht="27.6">
      <c r="A339" s="3" t="s">
        <v>1024</v>
      </c>
      <c r="B339" s="3" t="s">
        <v>1025</v>
      </c>
      <c r="C339" s="3" t="s">
        <v>172</v>
      </c>
      <c r="D339" s="3" t="s">
        <v>253</v>
      </c>
      <c r="E339" s="3" t="s">
        <v>168</v>
      </c>
      <c r="F339" s="3"/>
      <c r="G339" s="3"/>
    </row>
    <row r="340" spans="1:7" ht="27.6">
      <c r="A340" s="3" t="s">
        <v>1026</v>
      </c>
      <c r="B340" s="3" t="s">
        <v>1027</v>
      </c>
      <c r="C340" s="3" t="s">
        <v>1028</v>
      </c>
      <c r="D340" s="3" t="s">
        <v>186</v>
      </c>
      <c r="E340" s="3" t="s">
        <v>205</v>
      </c>
      <c r="F340" s="3"/>
      <c r="G340" s="3"/>
    </row>
    <row r="341" spans="1:7" ht="27.6">
      <c r="A341" s="3" t="s">
        <v>1029</v>
      </c>
      <c r="B341" s="3" t="s">
        <v>1030</v>
      </c>
      <c r="C341" s="3" t="s">
        <v>1028</v>
      </c>
      <c r="D341" s="3" t="s">
        <v>186</v>
      </c>
      <c r="E341" s="3" t="s">
        <v>168</v>
      </c>
      <c r="F341" s="3"/>
      <c r="G341" s="3"/>
    </row>
    <row r="342" spans="1:7" ht="27.6">
      <c r="A342" s="3" t="s">
        <v>1031</v>
      </c>
      <c r="B342" s="3" t="s">
        <v>1032</v>
      </c>
      <c r="C342" s="3" t="s">
        <v>1033</v>
      </c>
      <c r="D342" s="3" t="s">
        <v>186</v>
      </c>
      <c r="E342" s="3" t="s">
        <v>205</v>
      </c>
      <c r="F342" s="3"/>
      <c r="G342" s="3"/>
    </row>
    <row r="343" spans="1:7" ht="27.6">
      <c r="A343" s="3" t="s">
        <v>1034</v>
      </c>
      <c r="B343" s="3" t="s">
        <v>1035</v>
      </c>
      <c r="C343" s="3" t="s">
        <v>1036</v>
      </c>
      <c r="D343" s="3" t="s">
        <v>186</v>
      </c>
      <c r="E343" s="3" t="s">
        <v>168</v>
      </c>
      <c r="F343" s="3"/>
      <c r="G343" s="3"/>
    </row>
    <row r="344" spans="1:7" ht="27.6">
      <c r="A344" s="3" t="s">
        <v>1037</v>
      </c>
      <c r="B344" s="3" t="s">
        <v>1038</v>
      </c>
      <c r="C344" s="3" t="s">
        <v>1039</v>
      </c>
      <c r="D344" s="3" t="s">
        <v>186</v>
      </c>
      <c r="E344" s="3" t="s">
        <v>205</v>
      </c>
      <c r="F344" s="3"/>
      <c r="G344" s="3"/>
    </row>
    <row r="345" spans="1:7" ht="27.6">
      <c r="A345" s="3" t="s">
        <v>1040</v>
      </c>
      <c r="B345" s="3" t="s">
        <v>1041</v>
      </c>
      <c r="C345" s="3" t="s">
        <v>1039</v>
      </c>
      <c r="D345" s="3" t="s">
        <v>186</v>
      </c>
      <c r="E345" s="3" t="s">
        <v>168</v>
      </c>
      <c r="F345" s="3"/>
      <c r="G345" s="3"/>
    </row>
    <row r="346" spans="1:7" ht="27.6">
      <c r="A346" s="3" t="s">
        <v>1042</v>
      </c>
      <c r="B346" s="3" t="s">
        <v>1043</v>
      </c>
      <c r="C346" s="3" t="s">
        <v>268</v>
      </c>
      <c r="D346" s="3" t="s">
        <v>167</v>
      </c>
      <c r="E346" s="3" t="s">
        <v>168</v>
      </c>
      <c r="F346" s="3"/>
      <c r="G346" s="3"/>
    </row>
    <row r="347" spans="1:7" ht="27.6">
      <c r="A347" s="3" t="s">
        <v>1044</v>
      </c>
      <c r="B347" s="3" t="s">
        <v>1045</v>
      </c>
      <c r="C347" s="3" t="s">
        <v>172</v>
      </c>
      <c r="D347" s="3" t="s">
        <v>363</v>
      </c>
      <c r="E347" s="3" t="s">
        <v>168</v>
      </c>
      <c r="F347" s="3"/>
      <c r="G347" s="3"/>
    </row>
    <row r="348" spans="1:7" ht="27.6">
      <c r="A348" s="3" t="s">
        <v>1046</v>
      </c>
      <c r="B348" s="3" t="s">
        <v>1047</v>
      </c>
      <c r="C348" s="3" t="s">
        <v>200</v>
      </c>
      <c r="D348" s="3" t="s">
        <v>229</v>
      </c>
      <c r="E348" s="3" t="s">
        <v>168</v>
      </c>
      <c r="F348" s="3"/>
      <c r="G348" s="3"/>
    </row>
    <row r="349" spans="1:7" ht="27.6">
      <c r="A349" s="3" t="s">
        <v>1048</v>
      </c>
      <c r="B349" s="3" t="s">
        <v>1049</v>
      </c>
      <c r="C349" s="3" t="s">
        <v>244</v>
      </c>
      <c r="D349" s="3" t="s">
        <v>420</v>
      </c>
      <c r="E349" s="3" t="s">
        <v>168</v>
      </c>
      <c r="F349" s="3"/>
      <c r="G349" s="3"/>
    </row>
    <row r="350" spans="1:7" ht="27.6">
      <c r="A350" s="3" t="s">
        <v>1050</v>
      </c>
      <c r="B350" s="3" t="s">
        <v>1051</v>
      </c>
      <c r="C350" s="3" t="s">
        <v>200</v>
      </c>
      <c r="D350" s="3" t="s">
        <v>664</v>
      </c>
      <c r="E350" s="3" t="s">
        <v>168</v>
      </c>
      <c r="F350" s="3"/>
      <c r="G350" s="3"/>
    </row>
    <row r="351" spans="1:7" ht="27.6">
      <c r="A351" s="3" t="s">
        <v>1052</v>
      </c>
      <c r="B351" s="3" t="s">
        <v>1053</v>
      </c>
      <c r="C351" s="3" t="s">
        <v>189</v>
      </c>
      <c r="D351" s="3" t="s">
        <v>279</v>
      </c>
      <c r="E351" s="3" t="s">
        <v>168</v>
      </c>
      <c r="F351" s="3"/>
      <c r="G351" s="3"/>
    </row>
    <row r="352" spans="1:7" ht="41.4">
      <c r="A352" s="3" t="s">
        <v>1054</v>
      </c>
      <c r="B352" s="3" t="s">
        <v>1055</v>
      </c>
      <c r="C352" s="3" t="s">
        <v>1056</v>
      </c>
      <c r="D352" s="3" t="s">
        <v>178</v>
      </c>
      <c r="E352" s="3" t="s">
        <v>168</v>
      </c>
      <c r="F352" s="3"/>
      <c r="G352" s="3"/>
    </row>
    <row r="353" spans="1:7" ht="27.6">
      <c r="A353" s="3" t="s">
        <v>1057</v>
      </c>
      <c r="B353" s="3" t="s">
        <v>1058</v>
      </c>
      <c r="C353" s="3" t="s">
        <v>172</v>
      </c>
      <c r="D353" s="3" t="s">
        <v>349</v>
      </c>
      <c r="E353" s="3" t="s">
        <v>168</v>
      </c>
      <c r="F353" s="3"/>
      <c r="G353" s="3"/>
    </row>
    <row r="354" spans="1:7" ht="27.6">
      <c r="A354" s="3" t="s">
        <v>1059</v>
      </c>
      <c r="B354" s="3" t="s">
        <v>1060</v>
      </c>
      <c r="C354" s="3" t="s">
        <v>217</v>
      </c>
      <c r="D354" s="3" t="s">
        <v>173</v>
      </c>
      <c r="E354" s="3" t="s">
        <v>168</v>
      </c>
      <c r="F354" s="3"/>
      <c r="G354" s="3"/>
    </row>
    <row r="355" spans="1:7" ht="27.6">
      <c r="A355" s="3" t="s">
        <v>1061</v>
      </c>
      <c r="B355" s="3" t="s">
        <v>1062</v>
      </c>
      <c r="C355" s="3" t="s">
        <v>189</v>
      </c>
      <c r="D355" s="3" t="s">
        <v>241</v>
      </c>
      <c r="E355" s="3" t="s">
        <v>168</v>
      </c>
      <c r="F355" s="3"/>
      <c r="G355" s="3"/>
    </row>
    <row r="356" spans="1:7" ht="27.6">
      <c r="A356" s="3" t="s">
        <v>1063</v>
      </c>
      <c r="B356" s="3" t="s">
        <v>1064</v>
      </c>
      <c r="C356" s="3" t="s">
        <v>200</v>
      </c>
      <c r="D356" s="3" t="s">
        <v>197</v>
      </c>
      <c r="E356" s="3" t="s">
        <v>168</v>
      </c>
      <c r="F356" s="3"/>
      <c r="G356" s="3"/>
    </row>
    <row r="357" spans="1:7" ht="27.6">
      <c r="A357" s="3" t="s">
        <v>1065</v>
      </c>
      <c r="B357" s="3" t="s">
        <v>1066</v>
      </c>
      <c r="C357" s="3" t="s">
        <v>268</v>
      </c>
      <c r="D357" s="3" t="s">
        <v>271</v>
      </c>
      <c r="E357" s="3" t="s">
        <v>168</v>
      </c>
      <c r="F357" s="3"/>
      <c r="G357" s="3"/>
    </row>
    <row r="358" spans="1:7" ht="27.6">
      <c r="A358" s="3" t="s">
        <v>1067</v>
      </c>
      <c r="B358" s="3" t="s">
        <v>1068</v>
      </c>
      <c r="C358" s="3" t="s">
        <v>268</v>
      </c>
      <c r="D358" s="3" t="s">
        <v>363</v>
      </c>
      <c r="E358" s="3" t="s">
        <v>168</v>
      </c>
      <c r="F358" s="3"/>
      <c r="G358" s="3"/>
    </row>
    <row r="359" spans="1:7" ht="27.6">
      <c r="A359" s="3" t="s">
        <v>1069</v>
      </c>
      <c r="B359" s="3" t="s">
        <v>1070</v>
      </c>
      <c r="C359" s="3" t="s">
        <v>228</v>
      </c>
      <c r="D359" s="3" t="s">
        <v>285</v>
      </c>
      <c r="E359" s="3" t="s">
        <v>168</v>
      </c>
      <c r="F359" s="3"/>
      <c r="G359" s="3"/>
    </row>
    <row r="360" spans="1:7" ht="27.6">
      <c r="A360" s="3" t="s">
        <v>1071</v>
      </c>
      <c r="B360" s="3" t="s">
        <v>1072</v>
      </c>
      <c r="C360" s="3" t="s">
        <v>345</v>
      </c>
      <c r="D360" s="3" t="s">
        <v>360</v>
      </c>
      <c r="E360" s="3" t="s">
        <v>168</v>
      </c>
      <c r="F360" s="3"/>
      <c r="G360" s="3"/>
    </row>
    <row r="361" spans="1:7" ht="27.6">
      <c r="A361" s="3" t="s">
        <v>1073</v>
      </c>
      <c r="B361" s="3" t="s">
        <v>1074</v>
      </c>
      <c r="C361" s="3" t="s">
        <v>268</v>
      </c>
      <c r="D361" s="3" t="s">
        <v>229</v>
      </c>
      <c r="E361" s="3" t="s">
        <v>168</v>
      </c>
      <c r="F361" s="3"/>
      <c r="G361" s="3"/>
    </row>
    <row r="362" spans="1:7" ht="27.6">
      <c r="A362" s="3" t="s">
        <v>1075</v>
      </c>
      <c r="B362" s="3" t="s">
        <v>1076</v>
      </c>
      <c r="C362" s="3" t="s">
        <v>345</v>
      </c>
      <c r="D362" s="3" t="s">
        <v>167</v>
      </c>
      <c r="E362" s="3" t="s">
        <v>168</v>
      </c>
      <c r="F362" s="3"/>
      <c r="G362" s="3"/>
    </row>
    <row r="363" spans="1:7" ht="27.6">
      <c r="A363" s="3" t="s">
        <v>1077</v>
      </c>
      <c r="B363" s="3" t="s">
        <v>1078</v>
      </c>
      <c r="C363" s="3" t="s">
        <v>1079</v>
      </c>
      <c r="D363" s="3" t="s">
        <v>178</v>
      </c>
      <c r="E363" s="3" t="s">
        <v>168</v>
      </c>
      <c r="F363" s="3"/>
      <c r="G363" s="3"/>
    </row>
    <row r="364" spans="1:7" ht="27.6">
      <c r="A364" s="3" t="s">
        <v>1080</v>
      </c>
      <c r="B364" s="3" t="s">
        <v>1081</v>
      </c>
      <c r="C364" s="3" t="s">
        <v>345</v>
      </c>
      <c r="D364" s="3" t="s">
        <v>241</v>
      </c>
      <c r="E364" s="3" t="s">
        <v>168</v>
      </c>
      <c r="F364" s="3"/>
      <c r="G364" s="3"/>
    </row>
    <row r="365" spans="1:7" ht="27.6">
      <c r="A365" s="3" t="s">
        <v>1082</v>
      </c>
      <c r="B365" s="3" t="s">
        <v>1083</v>
      </c>
      <c r="C365" s="3" t="s">
        <v>217</v>
      </c>
      <c r="D365" s="3" t="s">
        <v>349</v>
      </c>
      <c r="E365" s="3" t="s">
        <v>168</v>
      </c>
      <c r="F365" s="3"/>
      <c r="G365" s="3"/>
    </row>
    <row r="366" spans="1:7" ht="27.6">
      <c r="A366" s="3" t="s">
        <v>1084</v>
      </c>
      <c r="B366" s="3" t="s">
        <v>1085</v>
      </c>
      <c r="C366" s="3" t="s">
        <v>1086</v>
      </c>
      <c r="D366" s="3" t="s">
        <v>178</v>
      </c>
      <c r="E366" s="3" t="s">
        <v>168</v>
      </c>
      <c r="F366" s="3"/>
      <c r="G366" s="3"/>
    </row>
    <row r="367" spans="1:7" ht="27.6">
      <c r="A367" s="3" t="s">
        <v>1087</v>
      </c>
      <c r="B367" s="3" t="s">
        <v>1088</v>
      </c>
      <c r="C367" s="3" t="s">
        <v>200</v>
      </c>
      <c r="D367" s="3" t="s">
        <v>167</v>
      </c>
      <c r="E367" s="3" t="s">
        <v>168</v>
      </c>
      <c r="F367" s="3"/>
      <c r="G367" s="3"/>
    </row>
    <row r="368" spans="1:7" ht="69">
      <c r="A368" s="3" t="s">
        <v>1089</v>
      </c>
      <c r="B368" s="3" t="s">
        <v>1090</v>
      </c>
      <c r="C368" s="3" t="s">
        <v>1091</v>
      </c>
      <c r="D368" s="3" t="s">
        <v>186</v>
      </c>
      <c r="E368" s="3" t="s">
        <v>168</v>
      </c>
      <c r="F368" s="3"/>
      <c r="G368" s="3"/>
    </row>
    <row r="369" spans="1:7" ht="27.6">
      <c r="A369" s="3" t="s">
        <v>1092</v>
      </c>
      <c r="B369" s="3" t="s">
        <v>1093</v>
      </c>
      <c r="C369" s="3" t="s">
        <v>1094</v>
      </c>
      <c r="D369" s="3" t="s">
        <v>303</v>
      </c>
      <c r="E369" s="3" t="s">
        <v>168</v>
      </c>
      <c r="F369" s="3"/>
      <c r="G369" s="3"/>
    </row>
    <row r="370" spans="1:7" ht="27.6">
      <c r="A370" s="3" t="s">
        <v>1095</v>
      </c>
      <c r="B370" s="3" t="s">
        <v>1096</v>
      </c>
      <c r="C370" s="3" t="s">
        <v>262</v>
      </c>
      <c r="D370" s="3" t="s">
        <v>214</v>
      </c>
      <c r="E370" s="3" t="s">
        <v>168</v>
      </c>
      <c r="F370" s="3"/>
      <c r="G370" s="3"/>
    </row>
    <row r="371" spans="1:7" ht="27.6">
      <c r="A371" s="3" t="s">
        <v>1097</v>
      </c>
      <c r="B371" s="3" t="s">
        <v>1098</v>
      </c>
      <c r="C371" s="3" t="s">
        <v>244</v>
      </c>
      <c r="D371" s="3" t="s">
        <v>354</v>
      </c>
      <c r="E371" s="3" t="s">
        <v>168</v>
      </c>
      <c r="F371" s="3"/>
      <c r="G371" s="3"/>
    </row>
    <row r="372" spans="1:7" ht="27.6">
      <c r="A372" s="3" t="s">
        <v>1099</v>
      </c>
      <c r="B372" s="3" t="s">
        <v>1100</v>
      </c>
      <c r="C372" s="3" t="s">
        <v>228</v>
      </c>
      <c r="D372" s="3" t="s">
        <v>475</v>
      </c>
      <c r="E372" s="3" t="s">
        <v>168</v>
      </c>
      <c r="F372" s="3"/>
      <c r="G372" s="3"/>
    </row>
    <row r="373" spans="1:7" ht="27.6">
      <c r="A373" s="3" t="s">
        <v>1101</v>
      </c>
      <c r="B373" s="3" t="s">
        <v>1102</v>
      </c>
      <c r="C373" s="3" t="s">
        <v>196</v>
      </c>
      <c r="D373" s="3" t="s">
        <v>297</v>
      </c>
      <c r="E373" s="3" t="s">
        <v>168</v>
      </c>
      <c r="F373" s="3"/>
      <c r="G373" s="3"/>
    </row>
    <row r="374" spans="1:7" ht="27.6">
      <c r="A374" s="3" t="s">
        <v>1103</v>
      </c>
      <c r="B374" s="3" t="s">
        <v>1104</v>
      </c>
      <c r="C374" s="3" t="s">
        <v>345</v>
      </c>
      <c r="D374" s="3" t="s">
        <v>297</v>
      </c>
      <c r="E374" s="3" t="s">
        <v>168</v>
      </c>
      <c r="F374" s="3"/>
      <c r="G374" s="3"/>
    </row>
    <row r="375" spans="1:7" ht="27.6">
      <c r="A375" s="3" t="s">
        <v>1105</v>
      </c>
      <c r="B375" s="3" t="s">
        <v>1106</v>
      </c>
      <c r="C375" s="3" t="s">
        <v>196</v>
      </c>
      <c r="D375" s="3" t="s">
        <v>173</v>
      </c>
      <c r="E375" s="3" t="s">
        <v>168</v>
      </c>
      <c r="F375" s="3"/>
      <c r="G375" s="3"/>
    </row>
    <row r="376" spans="1:7" ht="27.6">
      <c r="A376" s="3" t="s">
        <v>1107</v>
      </c>
      <c r="B376" s="3" t="s">
        <v>1108</v>
      </c>
      <c r="C376" s="3" t="s">
        <v>244</v>
      </c>
      <c r="D376" s="3" t="s">
        <v>190</v>
      </c>
      <c r="E376" s="3" t="s">
        <v>168</v>
      </c>
      <c r="F376" s="3"/>
      <c r="G376" s="3"/>
    </row>
    <row r="377" spans="1:7" ht="41.4">
      <c r="A377" s="3" t="s">
        <v>1109</v>
      </c>
      <c r="B377" s="3" t="s">
        <v>1110</v>
      </c>
      <c r="C377" s="3" t="s">
        <v>847</v>
      </c>
      <c r="D377" s="3" t="s">
        <v>178</v>
      </c>
      <c r="E377" s="3" t="s">
        <v>168</v>
      </c>
      <c r="F377" s="3"/>
      <c r="G377" s="3"/>
    </row>
    <row r="378" spans="1:7" ht="27.6">
      <c r="A378" s="3" t="s">
        <v>1111</v>
      </c>
      <c r="B378" s="3" t="s">
        <v>1112</v>
      </c>
      <c r="C378" s="3" t="s">
        <v>1113</v>
      </c>
      <c r="D378" s="3" t="s">
        <v>186</v>
      </c>
      <c r="E378" s="3" t="s">
        <v>168</v>
      </c>
      <c r="F378" s="3"/>
      <c r="G378" s="3"/>
    </row>
    <row r="379" spans="1:7" ht="27.6">
      <c r="A379" s="3" t="s">
        <v>1114</v>
      </c>
      <c r="B379" s="3" t="s">
        <v>1115</v>
      </c>
      <c r="C379" s="3" t="s">
        <v>240</v>
      </c>
      <c r="D379" s="3" t="s">
        <v>253</v>
      </c>
      <c r="E379" s="3" t="s">
        <v>168</v>
      </c>
      <c r="F379" s="3"/>
      <c r="G379" s="3"/>
    </row>
    <row r="380" spans="1:7" ht="27.6">
      <c r="A380" s="3" t="s">
        <v>1116</v>
      </c>
      <c r="B380" s="3" t="s">
        <v>1117</v>
      </c>
      <c r="C380" s="3" t="s">
        <v>200</v>
      </c>
      <c r="D380" s="3" t="s">
        <v>349</v>
      </c>
      <c r="E380" s="3" t="s">
        <v>168</v>
      </c>
      <c r="F380" s="3"/>
      <c r="G380" s="3"/>
    </row>
    <row r="381" spans="1:7" ht="27.6">
      <c r="A381" s="3" t="s">
        <v>1118</v>
      </c>
      <c r="B381" s="3" t="s">
        <v>1119</v>
      </c>
      <c r="C381" s="3" t="s">
        <v>268</v>
      </c>
      <c r="D381" s="3" t="s">
        <v>371</v>
      </c>
      <c r="E381" s="3" t="s">
        <v>168</v>
      </c>
      <c r="F381" s="3"/>
      <c r="G381" s="3"/>
    </row>
    <row r="382" spans="1:7" ht="27.6">
      <c r="A382" s="3" t="s">
        <v>1120</v>
      </c>
      <c r="B382" s="3" t="s">
        <v>1121</v>
      </c>
      <c r="C382" s="3" t="s">
        <v>228</v>
      </c>
      <c r="D382" s="3" t="s">
        <v>330</v>
      </c>
      <c r="E382" s="3" t="s">
        <v>168</v>
      </c>
      <c r="F382" s="3"/>
      <c r="G382" s="3"/>
    </row>
    <row r="383" spans="1:7" ht="27.6">
      <c r="A383" s="3" t="s">
        <v>1122</v>
      </c>
      <c r="B383" s="3" t="s">
        <v>1123</v>
      </c>
      <c r="C383" s="3" t="s">
        <v>1124</v>
      </c>
      <c r="D383" s="3" t="s">
        <v>186</v>
      </c>
      <c r="E383" s="3" t="s">
        <v>168</v>
      </c>
      <c r="F383" s="3"/>
      <c r="G383" s="3"/>
    </row>
    <row r="384" spans="1:7" ht="27.6">
      <c r="A384" s="3" t="s">
        <v>1125</v>
      </c>
      <c r="B384" s="3" t="s">
        <v>1126</v>
      </c>
      <c r="C384" s="3" t="s">
        <v>189</v>
      </c>
      <c r="D384" s="3" t="s">
        <v>330</v>
      </c>
      <c r="E384" s="3" t="s">
        <v>168</v>
      </c>
      <c r="F384" s="3"/>
      <c r="G384" s="3"/>
    </row>
    <row r="385" spans="1:7" ht="27.6">
      <c r="A385" s="3" t="s">
        <v>1127</v>
      </c>
      <c r="B385" s="3" t="s">
        <v>1128</v>
      </c>
      <c r="C385" s="3" t="s">
        <v>244</v>
      </c>
      <c r="D385" s="3" t="s">
        <v>349</v>
      </c>
      <c r="E385" s="3" t="s">
        <v>168</v>
      </c>
      <c r="F385" s="3"/>
      <c r="G385" s="3"/>
    </row>
    <row r="386" spans="1:7" ht="27.6">
      <c r="A386" s="3" t="s">
        <v>1129</v>
      </c>
      <c r="B386" s="3" t="s">
        <v>1130</v>
      </c>
      <c r="C386" s="3" t="s">
        <v>217</v>
      </c>
      <c r="D386" s="3" t="s">
        <v>197</v>
      </c>
      <c r="E386" s="3" t="s">
        <v>168</v>
      </c>
      <c r="F386" s="3"/>
      <c r="G386" s="3"/>
    </row>
    <row r="387" spans="1:7" ht="27.6">
      <c r="A387" s="3" t="s">
        <v>1131</v>
      </c>
      <c r="B387" s="3" t="s">
        <v>1132</v>
      </c>
      <c r="C387" s="3" t="s">
        <v>240</v>
      </c>
      <c r="D387" s="3" t="s">
        <v>276</v>
      </c>
      <c r="E387" s="3" t="s">
        <v>168</v>
      </c>
      <c r="F387" s="3"/>
      <c r="G387" s="3"/>
    </row>
    <row r="388" spans="1:7" ht="27.6">
      <c r="A388" s="3" t="s">
        <v>1133</v>
      </c>
      <c r="B388" s="3" t="s">
        <v>1134</v>
      </c>
      <c r="C388" s="3" t="s">
        <v>1135</v>
      </c>
      <c r="D388" s="3" t="s">
        <v>178</v>
      </c>
      <c r="E388" s="3" t="s">
        <v>168</v>
      </c>
      <c r="F388" s="3"/>
      <c r="G388" s="3"/>
    </row>
    <row r="389" spans="1:7" ht="27.6">
      <c r="A389" s="3" t="s">
        <v>1136</v>
      </c>
      <c r="B389" s="3" t="s">
        <v>1137</v>
      </c>
      <c r="C389" s="3" t="s">
        <v>345</v>
      </c>
      <c r="D389" s="3" t="s">
        <v>214</v>
      </c>
      <c r="E389" s="3" t="s">
        <v>168</v>
      </c>
      <c r="F389" s="3"/>
      <c r="G389" s="3"/>
    </row>
    <row r="390" spans="1:7" ht="27.6">
      <c r="A390" s="3" t="s">
        <v>1138</v>
      </c>
      <c r="B390" s="3" t="s">
        <v>1139</v>
      </c>
      <c r="C390" s="3" t="s">
        <v>516</v>
      </c>
      <c r="D390" s="3" t="s">
        <v>229</v>
      </c>
      <c r="E390" s="3" t="s">
        <v>168</v>
      </c>
      <c r="F390" s="3"/>
      <c r="G390" s="3"/>
    </row>
    <row r="391" spans="1:7" ht="27.6">
      <c r="A391" s="3" t="s">
        <v>1140</v>
      </c>
      <c r="B391" s="3" t="s">
        <v>1141</v>
      </c>
      <c r="C391" s="3" t="s">
        <v>1142</v>
      </c>
      <c r="D391" s="3" t="s">
        <v>204</v>
      </c>
      <c r="E391" s="3" t="s">
        <v>205</v>
      </c>
      <c r="F391" s="3"/>
      <c r="G391" s="3"/>
    </row>
    <row r="392" spans="1:7" ht="27.6">
      <c r="A392" s="3" t="s">
        <v>1143</v>
      </c>
      <c r="B392" s="3" t="s">
        <v>1144</v>
      </c>
      <c r="C392" s="3" t="s">
        <v>1145</v>
      </c>
      <c r="D392" s="3" t="s">
        <v>178</v>
      </c>
      <c r="E392" s="3" t="s">
        <v>168</v>
      </c>
      <c r="F392" s="3"/>
      <c r="G392" s="3"/>
    </row>
    <row r="393" spans="1:7" ht="27.6">
      <c r="A393" s="3" t="s">
        <v>1146</v>
      </c>
      <c r="B393" s="3" t="s">
        <v>1147</v>
      </c>
      <c r="C393" s="3" t="s">
        <v>1148</v>
      </c>
      <c r="D393" s="3" t="s">
        <v>186</v>
      </c>
      <c r="E393" s="3" t="s">
        <v>168</v>
      </c>
      <c r="F393" s="3"/>
      <c r="G393" s="3"/>
    </row>
    <row r="394" spans="1:7" ht="41.4">
      <c r="A394" s="3" t="s">
        <v>1149</v>
      </c>
      <c r="B394" s="3" t="s">
        <v>1150</v>
      </c>
      <c r="C394" s="3" t="s">
        <v>1151</v>
      </c>
      <c r="D394" s="3" t="s">
        <v>303</v>
      </c>
      <c r="E394" s="3" t="s">
        <v>168</v>
      </c>
      <c r="F394" s="3"/>
      <c r="G394" s="3"/>
    </row>
    <row r="395" spans="1:7" ht="27.6">
      <c r="A395" s="3" t="s">
        <v>1152</v>
      </c>
      <c r="B395" s="3" t="s">
        <v>1153</v>
      </c>
      <c r="C395" s="3" t="s">
        <v>268</v>
      </c>
      <c r="D395" s="3" t="s">
        <v>173</v>
      </c>
      <c r="E395" s="3" t="s">
        <v>168</v>
      </c>
      <c r="F395" s="3"/>
      <c r="G395" s="3"/>
    </row>
    <row r="396" spans="1:7" ht="27.6">
      <c r="A396" s="3" t="s">
        <v>1154</v>
      </c>
      <c r="B396" s="3" t="s">
        <v>1155</v>
      </c>
      <c r="C396" s="3" t="s">
        <v>268</v>
      </c>
      <c r="D396" s="3" t="s">
        <v>475</v>
      </c>
      <c r="E396" s="3" t="s">
        <v>168</v>
      </c>
      <c r="F396" s="3"/>
      <c r="G396" s="3"/>
    </row>
    <row r="397" spans="1:7" ht="27.6">
      <c r="A397" s="3" t="s">
        <v>1156</v>
      </c>
      <c r="B397" s="3" t="s">
        <v>1157</v>
      </c>
      <c r="C397" s="3" t="s">
        <v>217</v>
      </c>
      <c r="D397" s="3" t="s">
        <v>346</v>
      </c>
      <c r="E397" s="3" t="s">
        <v>168</v>
      </c>
      <c r="F397" s="3"/>
      <c r="G397" s="3"/>
    </row>
    <row r="398" spans="1:7" ht="27.6">
      <c r="A398" s="3" t="s">
        <v>1158</v>
      </c>
      <c r="B398" s="3" t="s">
        <v>1159</v>
      </c>
      <c r="C398" s="3" t="s">
        <v>228</v>
      </c>
      <c r="D398" s="3" t="s">
        <v>193</v>
      </c>
      <c r="E398" s="3" t="s">
        <v>168</v>
      </c>
      <c r="F398" s="3"/>
      <c r="G398" s="3"/>
    </row>
    <row r="399" spans="1:7" ht="27.6">
      <c r="A399" s="3" t="s">
        <v>1160</v>
      </c>
      <c r="B399" s="3" t="s">
        <v>1161</v>
      </c>
      <c r="C399" s="3" t="s">
        <v>200</v>
      </c>
      <c r="D399" s="3" t="s">
        <v>371</v>
      </c>
      <c r="E399" s="3" t="s">
        <v>168</v>
      </c>
      <c r="F399" s="3"/>
      <c r="G399" s="3"/>
    </row>
    <row r="400" spans="1:7" ht="27.6">
      <c r="A400" s="3" t="s">
        <v>1162</v>
      </c>
      <c r="B400" s="3" t="s">
        <v>1163</v>
      </c>
      <c r="C400" s="3" t="s">
        <v>196</v>
      </c>
      <c r="D400" s="3" t="s">
        <v>241</v>
      </c>
      <c r="E400" s="3" t="s">
        <v>168</v>
      </c>
      <c r="F400" s="3"/>
      <c r="G400" s="3"/>
    </row>
    <row r="401" spans="1:7" ht="27.6">
      <c r="A401" s="3" t="s">
        <v>1164</v>
      </c>
      <c r="B401" s="3" t="s">
        <v>1165</v>
      </c>
      <c r="C401" s="3" t="s">
        <v>345</v>
      </c>
      <c r="D401" s="3" t="s">
        <v>276</v>
      </c>
      <c r="E401" s="3" t="s">
        <v>168</v>
      </c>
      <c r="F401" s="3"/>
      <c r="G401" s="3"/>
    </row>
    <row r="402" spans="1:7" ht="27.6">
      <c r="A402" s="3" t="s">
        <v>1166</v>
      </c>
      <c r="B402" s="3" t="s">
        <v>1167</v>
      </c>
      <c r="C402" s="3" t="s">
        <v>516</v>
      </c>
      <c r="D402" s="3" t="s">
        <v>276</v>
      </c>
      <c r="E402" s="3" t="s">
        <v>168</v>
      </c>
      <c r="F402" s="3"/>
      <c r="G402" s="3"/>
    </row>
    <row r="403" spans="1:7" ht="27.6">
      <c r="A403" s="3" t="s">
        <v>1168</v>
      </c>
      <c r="B403" s="3" t="s">
        <v>1169</v>
      </c>
      <c r="C403" s="3" t="s">
        <v>1170</v>
      </c>
      <c r="D403" s="3" t="s">
        <v>186</v>
      </c>
      <c r="E403" s="3" t="s">
        <v>168</v>
      </c>
      <c r="F403" s="3"/>
      <c r="G403" s="3"/>
    </row>
    <row r="404" spans="1:7" ht="27.6">
      <c r="A404" s="3" t="s">
        <v>1171</v>
      </c>
      <c r="B404" s="3" t="s">
        <v>1172</v>
      </c>
      <c r="C404" s="3" t="s">
        <v>1173</v>
      </c>
      <c r="D404" s="3" t="s">
        <v>186</v>
      </c>
      <c r="E404" s="3" t="s">
        <v>168</v>
      </c>
      <c r="F404" s="3"/>
      <c r="G404" s="3"/>
    </row>
    <row r="405" spans="1:7" ht="27.6">
      <c r="A405" s="3" t="s">
        <v>1174</v>
      </c>
      <c r="B405" s="3" t="s">
        <v>1175</v>
      </c>
      <c r="C405" s="3" t="s">
        <v>1176</v>
      </c>
      <c r="D405" s="3" t="s">
        <v>186</v>
      </c>
      <c r="E405" s="3" t="s">
        <v>168</v>
      </c>
      <c r="F405" s="3"/>
      <c r="G405" s="3"/>
    </row>
    <row r="406" spans="1:7" ht="27.6">
      <c r="A406" s="3" t="s">
        <v>1177</v>
      </c>
      <c r="B406" s="3" t="s">
        <v>1178</v>
      </c>
      <c r="C406" s="3" t="s">
        <v>1179</v>
      </c>
      <c r="D406" s="3" t="s">
        <v>204</v>
      </c>
      <c r="E406" s="3" t="s">
        <v>205</v>
      </c>
      <c r="F406" s="3"/>
      <c r="G406" s="3"/>
    </row>
    <row r="407" spans="1:7" ht="27.6">
      <c r="A407" s="3" t="s">
        <v>1180</v>
      </c>
      <c r="B407" s="3" t="s">
        <v>1181</v>
      </c>
      <c r="C407" s="3" t="s">
        <v>200</v>
      </c>
      <c r="D407" s="3" t="s">
        <v>297</v>
      </c>
      <c r="E407" s="3" t="s">
        <v>168</v>
      </c>
      <c r="F407" s="3"/>
      <c r="G407" s="3"/>
    </row>
    <row r="408" spans="1:7" ht="27.6">
      <c r="A408" s="3" t="s">
        <v>1182</v>
      </c>
      <c r="B408" s="3" t="s">
        <v>1183</v>
      </c>
      <c r="C408" s="3" t="s">
        <v>189</v>
      </c>
      <c r="D408" s="3" t="s">
        <v>276</v>
      </c>
      <c r="E408" s="3" t="s">
        <v>168</v>
      </c>
      <c r="F408" s="3"/>
      <c r="G408" s="3"/>
    </row>
    <row r="409" spans="1:7" ht="27.6">
      <c r="A409" s="3" t="s">
        <v>1184</v>
      </c>
      <c r="B409" s="3" t="s">
        <v>1185</v>
      </c>
      <c r="C409" s="3" t="s">
        <v>228</v>
      </c>
      <c r="D409" s="3" t="s">
        <v>664</v>
      </c>
      <c r="E409" s="3" t="s">
        <v>168</v>
      </c>
      <c r="F409" s="3"/>
      <c r="G409" s="3"/>
    </row>
    <row r="410" spans="1:7" ht="27.6">
      <c r="A410" s="3" t="s">
        <v>1186</v>
      </c>
      <c r="B410" s="3" t="s">
        <v>1187</v>
      </c>
      <c r="C410" s="3" t="s">
        <v>268</v>
      </c>
      <c r="D410" s="3" t="s">
        <v>248</v>
      </c>
      <c r="E410" s="3" t="s">
        <v>168</v>
      </c>
      <c r="F410" s="3"/>
      <c r="G410" s="3"/>
    </row>
    <row r="411" spans="1:7" ht="27.6">
      <c r="A411" s="3" t="s">
        <v>1188</v>
      </c>
      <c r="B411" s="3" t="s">
        <v>1189</v>
      </c>
      <c r="C411" s="3" t="s">
        <v>345</v>
      </c>
      <c r="D411" s="3" t="s">
        <v>354</v>
      </c>
      <c r="E411" s="3" t="s">
        <v>168</v>
      </c>
      <c r="F411" s="3"/>
      <c r="G411" s="3"/>
    </row>
    <row r="412" spans="1:7" ht="41.4">
      <c r="A412" s="3" t="s">
        <v>1190</v>
      </c>
      <c r="B412" s="3" t="s">
        <v>1191</v>
      </c>
      <c r="C412" s="3" t="s">
        <v>1192</v>
      </c>
      <c r="D412" s="3" t="s">
        <v>186</v>
      </c>
      <c r="E412" s="3" t="s">
        <v>168</v>
      </c>
      <c r="F412" s="3"/>
      <c r="G412" s="3"/>
    </row>
    <row r="413" spans="1:7" ht="27.6">
      <c r="A413" s="3" t="s">
        <v>1193</v>
      </c>
      <c r="B413" s="3" t="s">
        <v>1194</v>
      </c>
      <c r="C413" s="3" t="s">
        <v>268</v>
      </c>
      <c r="D413" s="3" t="s">
        <v>253</v>
      </c>
      <c r="E413" s="3" t="s">
        <v>168</v>
      </c>
      <c r="F413" s="3"/>
      <c r="G413" s="3"/>
    </row>
    <row r="414" spans="1:7" ht="27.6">
      <c r="A414" s="3" t="s">
        <v>1195</v>
      </c>
      <c r="B414" s="3" t="s">
        <v>1196</v>
      </c>
      <c r="C414" s="3" t="s">
        <v>268</v>
      </c>
      <c r="D414" s="3" t="s">
        <v>256</v>
      </c>
      <c r="E414" s="3" t="s">
        <v>168</v>
      </c>
      <c r="F414" s="3"/>
      <c r="G414" s="3"/>
    </row>
    <row r="415" spans="1:7" ht="41.4">
      <c r="A415" s="3" t="s">
        <v>1197</v>
      </c>
      <c r="B415" s="3" t="s">
        <v>1198</v>
      </c>
      <c r="C415" s="3" t="s">
        <v>1199</v>
      </c>
      <c r="D415" s="3" t="s">
        <v>371</v>
      </c>
      <c r="E415" s="3" t="s">
        <v>168</v>
      </c>
      <c r="F415" s="3"/>
      <c r="G415" s="3"/>
    </row>
    <row r="416" spans="1:7" ht="27.6">
      <c r="A416" s="3" t="s">
        <v>1200</v>
      </c>
      <c r="B416" s="3" t="s">
        <v>1201</v>
      </c>
      <c r="C416" s="3" t="s">
        <v>1202</v>
      </c>
      <c r="D416" s="3" t="s">
        <v>178</v>
      </c>
      <c r="E416" s="3" t="s">
        <v>168</v>
      </c>
      <c r="F416" s="3"/>
      <c r="G416" s="3"/>
    </row>
    <row r="417" spans="1:7" ht="41.4">
      <c r="A417" s="3" t="s">
        <v>1203</v>
      </c>
      <c r="B417" s="3" t="s">
        <v>1204</v>
      </c>
      <c r="C417" s="3" t="s">
        <v>1205</v>
      </c>
      <c r="D417" s="3" t="s">
        <v>178</v>
      </c>
      <c r="E417" s="3" t="s">
        <v>168</v>
      </c>
      <c r="F417" s="3"/>
      <c r="G417" s="3"/>
    </row>
    <row r="418" spans="1:7" ht="41.4">
      <c r="A418" s="3" t="s">
        <v>1206</v>
      </c>
      <c r="B418" s="3" t="s">
        <v>1207</v>
      </c>
      <c r="C418" s="3" t="s">
        <v>1208</v>
      </c>
      <c r="D418" s="3" t="s">
        <v>178</v>
      </c>
      <c r="E418" s="3" t="s">
        <v>168</v>
      </c>
      <c r="F418" s="3"/>
      <c r="G418" s="3"/>
    </row>
    <row r="419" spans="1:7" ht="41.4">
      <c r="A419" s="3" t="s">
        <v>1209</v>
      </c>
      <c r="B419" s="3" t="s">
        <v>1210</v>
      </c>
      <c r="C419" s="3" t="s">
        <v>1211</v>
      </c>
      <c r="D419" s="3" t="s">
        <v>178</v>
      </c>
      <c r="E419" s="3" t="s">
        <v>168</v>
      </c>
      <c r="F419" s="3"/>
      <c r="G419" s="3"/>
    </row>
    <row r="420" spans="1:7" ht="27.6">
      <c r="A420" s="3" t="s">
        <v>1212</v>
      </c>
      <c r="B420" s="3" t="s">
        <v>1213</v>
      </c>
      <c r="C420" s="3" t="s">
        <v>1214</v>
      </c>
      <c r="D420" s="3" t="s">
        <v>186</v>
      </c>
      <c r="E420" s="3" t="s">
        <v>168</v>
      </c>
      <c r="F420" s="3"/>
      <c r="G420" s="3"/>
    </row>
    <row r="421" spans="1:7" ht="27.6">
      <c r="A421" s="3" t="s">
        <v>1215</v>
      </c>
      <c r="B421" s="3" t="s">
        <v>1216</v>
      </c>
      <c r="C421" s="3" t="s">
        <v>1217</v>
      </c>
      <c r="D421" s="3" t="s">
        <v>186</v>
      </c>
      <c r="E421" s="3" t="s">
        <v>168</v>
      </c>
      <c r="F421" s="3"/>
      <c r="G421" s="3"/>
    </row>
    <row r="422" spans="1:7" ht="27.6">
      <c r="A422" s="3" t="s">
        <v>1218</v>
      </c>
      <c r="B422" s="3" t="s">
        <v>1219</v>
      </c>
      <c r="C422" s="3" t="s">
        <v>1220</v>
      </c>
      <c r="D422" s="3" t="s">
        <v>186</v>
      </c>
      <c r="E422" s="3" t="s">
        <v>168</v>
      </c>
      <c r="F422" s="3"/>
      <c r="G422" s="3"/>
    </row>
    <row r="423" spans="1:7" ht="27.6">
      <c r="A423" s="3" t="s">
        <v>1221</v>
      </c>
      <c r="B423" s="3" t="s">
        <v>1222</v>
      </c>
      <c r="C423" s="3" t="s">
        <v>1223</v>
      </c>
      <c r="D423" s="3" t="s">
        <v>186</v>
      </c>
      <c r="E423" s="3" t="s">
        <v>168</v>
      </c>
      <c r="F423" s="3"/>
      <c r="G423" s="3"/>
    </row>
    <row r="424" spans="1:7" ht="27.6">
      <c r="A424" s="3" t="s">
        <v>1224</v>
      </c>
      <c r="B424" s="3" t="s">
        <v>1225</v>
      </c>
      <c r="C424" s="3" t="s">
        <v>1226</v>
      </c>
      <c r="D424" s="3" t="s">
        <v>186</v>
      </c>
      <c r="E424" s="3" t="s">
        <v>168</v>
      </c>
      <c r="F424" s="3"/>
      <c r="G424" s="3"/>
    </row>
    <row r="425" spans="1:7" ht="27.6">
      <c r="A425" s="3" t="s">
        <v>1227</v>
      </c>
      <c r="B425" s="3" t="s">
        <v>1228</v>
      </c>
      <c r="C425" s="3" t="s">
        <v>1229</v>
      </c>
      <c r="D425" s="3" t="s">
        <v>186</v>
      </c>
      <c r="E425" s="3" t="s">
        <v>168</v>
      </c>
      <c r="F425" s="3"/>
      <c r="G425" s="3"/>
    </row>
    <row r="426" spans="1:7" ht="41.4">
      <c r="A426" s="3" t="s">
        <v>1230</v>
      </c>
      <c r="B426" s="3" t="s">
        <v>1231</v>
      </c>
      <c r="C426" s="3" t="s">
        <v>1232</v>
      </c>
      <c r="D426" s="3" t="s">
        <v>178</v>
      </c>
      <c r="E426" s="3" t="s">
        <v>168</v>
      </c>
      <c r="F426" s="3"/>
      <c r="G426" s="3"/>
    </row>
    <row r="427" spans="1:7" ht="41.4">
      <c r="A427" s="3" t="s">
        <v>1233</v>
      </c>
      <c r="B427" s="3" t="s">
        <v>1234</v>
      </c>
      <c r="C427" s="3" t="s">
        <v>1235</v>
      </c>
      <c r="D427" s="3" t="s">
        <v>178</v>
      </c>
      <c r="E427" s="3" t="s">
        <v>168</v>
      </c>
      <c r="F427" s="3"/>
      <c r="G427" s="3"/>
    </row>
    <row r="428" spans="1:7" ht="27.6">
      <c r="A428" s="3" t="s">
        <v>1236</v>
      </c>
      <c r="B428" s="3" t="s">
        <v>1237</v>
      </c>
      <c r="C428" s="3" t="s">
        <v>1238</v>
      </c>
      <c r="D428" s="3" t="s">
        <v>178</v>
      </c>
      <c r="E428" s="3" t="s">
        <v>168</v>
      </c>
      <c r="F428" s="3"/>
      <c r="G428" s="3"/>
    </row>
    <row r="429" spans="1:7" ht="41.4">
      <c r="A429" s="3" t="s">
        <v>1239</v>
      </c>
      <c r="B429" s="3" t="s">
        <v>1240</v>
      </c>
      <c r="C429" s="3" t="s">
        <v>1241</v>
      </c>
      <c r="D429" s="3" t="s">
        <v>178</v>
      </c>
      <c r="E429" s="3" t="s">
        <v>168</v>
      </c>
      <c r="F429" s="3"/>
      <c r="G429" s="3"/>
    </row>
    <row r="430" spans="1:7" ht="27.6">
      <c r="A430" s="3" t="s">
        <v>1242</v>
      </c>
      <c r="B430" s="3" t="s">
        <v>1243</v>
      </c>
      <c r="C430" s="3" t="s">
        <v>1244</v>
      </c>
      <c r="D430" s="3" t="s">
        <v>186</v>
      </c>
      <c r="E430" s="3" t="s">
        <v>205</v>
      </c>
      <c r="F430" s="3"/>
      <c r="G430" s="3"/>
    </row>
    <row r="431" spans="1:7" ht="55.2">
      <c r="A431" s="3" t="s">
        <v>1245</v>
      </c>
      <c r="B431" s="3" t="s">
        <v>1246</v>
      </c>
      <c r="C431" s="3" t="s">
        <v>1247</v>
      </c>
      <c r="D431" s="3" t="s">
        <v>178</v>
      </c>
      <c r="E431" s="3" t="s">
        <v>168</v>
      </c>
      <c r="F431" s="3"/>
      <c r="G431" s="3"/>
    </row>
    <row r="432" spans="1:7" ht="55.2">
      <c r="A432" s="3" t="s">
        <v>1248</v>
      </c>
      <c r="B432" s="3" t="s">
        <v>1249</v>
      </c>
      <c r="C432" s="3" t="s">
        <v>1250</v>
      </c>
      <c r="D432" s="3" t="s">
        <v>178</v>
      </c>
      <c r="E432" s="3" t="s">
        <v>168</v>
      </c>
      <c r="F432" s="3"/>
      <c r="G432" s="3"/>
    </row>
    <row r="433" spans="1:7" ht="41.4">
      <c r="A433" s="3" t="s">
        <v>1251</v>
      </c>
      <c r="B433" s="3" t="s">
        <v>1252</v>
      </c>
      <c r="C433" s="3" t="s">
        <v>1253</v>
      </c>
      <c r="D433" s="3" t="s">
        <v>178</v>
      </c>
      <c r="E433" s="3" t="s">
        <v>168</v>
      </c>
      <c r="F433" s="3"/>
      <c r="G433" s="3"/>
    </row>
    <row r="434" spans="1:7" ht="41.4">
      <c r="A434" s="3" t="s">
        <v>1254</v>
      </c>
      <c r="B434" s="3" t="s">
        <v>1255</v>
      </c>
      <c r="C434" s="3" t="s">
        <v>1256</v>
      </c>
      <c r="D434" s="3" t="s">
        <v>178</v>
      </c>
      <c r="E434" s="3" t="s">
        <v>168</v>
      </c>
      <c r="F434" s="3"/>
      <c r="G434" s="3"/>
    </row>
    <row r="435" spans="1:7" ht="27.6">
      <c r="A435" s="3" t="s">
        <v>1257</v>
      </c>
      <c r="B435" s="3" t="s">
        <v>1258</v>
      </c>
      <c r="C435" s="3" t="s">
        <v>1142</v>
      </c>
      <c r="D435" s="3" t="s">
        <v>186</v>
      </c>
      <c r="E435" s="3" t="s">
        <v>168</v>
      </c>
      <c r="F435" s="3"/>
      <c r="G435" s="3"/>
    </row>
    <row r="436" spans="1:7" ht="27.6">
      <c r="A436" s="3" t="s">
        <v>1259</v>
      </c>
      <c r="B436" s="3" t="s">
        <v>1260</v>
      </c>
      <c r="C436" s="3" t="s">
        <v>240</v>
      </c>
      <c r="D436" s="3" t="s">
        <v>229</v>
      </c>
      <c r="E436" s="3" t="s">
        <v>168</v>
      </c>
      <c r="F436" s="3"/>
      <c r="G436" s="3"/>
    </row>
    <row r="437" spans="1:7" ht="27.6">
      <c r="A437" s="3" t="s">
        <v>1261</v>
      </c>
      <c r="B437" s="3" t="s">
        <v>1262</v>
      </c>
      <c r="C437" s="3" t="s">
        <v>244</v>
      </c>
      <c r="D437" s="3" t="s">
        <v>241</v>
      </c>
      <c r="E437" s="3" t="s">
        <v>168</v>
      </c>
      <c r="F437" s="3"/>
      <c r="G437" s="3"/>
    </row>
    <row r="438" spans="1:7" ht="27.6">
      <c r="A438" s="3" t="s">
        <v>1263</v>
      </c>
      <c r="B438" s="3" t="s">
        <v>1264</v>
      </c>
      <c r="C438" s="3" t="s">
        <v>240</v>
      </c>
      <c r="D438" s="3" t="s">
        <v>279</v>
      </c>
      <c r="E438" s="3" t="s">
        <v>168</v>
      </c>
      <c r="F438" s="3"/>
      <c r="G438" s="3"/>
    </row>
    <row r="439" spans="1:7" ht="27.6">
      <c r="A439" s="3" t="s">
        <v>1265</v>
      </c>
      <c r="B439" s="3" t="s">
        <v>1266</v>
      </c>
      <c r="C439" s="3" t="s">
        <v>189</v>
      </c>
      <c r="D439" s="3" t="s">
        <v>297</v>
      </c>
      <c r="E439" s="3" t="s">
        <v>168</v>
      </c>
      <c r="F439" s="3"/>
      <c r="G439" s="3"/>
    </row>
    <row r="440" spans="1:7" ht="27.6">
      <c r="A440" s="3" t="s">
        <v>1267</v>
      </c>
      <c r="B440" s="3" t="s">
        <v>1268</v>
      </c>
      <c r="C440" s="3" t="s">
        <v>217</v>
      </c>
      <c r="D440" s="3" t="s">
        <v>214</v>
      </c>
      <c r="E440" s="3" t="s">
        <v>168</v>
      </c>
      <c r="F440" s="3"/>
      <c r="G440" s="3"/>
    </row>
    <row r="441" spans="1:7" ht="27.6">
      <c r="A441" s="3" t="s">
        <v>1269</v>
      </c>
      <c r="B441" s="3" t="s">
        <v>1270</v>
      </c>
      <c r="C441" s="3" t="s">
        <v>1271</v>
      </c>
      <c r="D441" s="3" t="s">
        <v>178</v>
      </c>
      <c r="E441" s="3" t="s">
        <v>168</v>
      </c>
      <c r="F441" s="3"/>
      <c r="G441" s="3"/>
    </row>
    <row r="442" spans="1:7" ht="27.6">
      <c r="A442" s="3" t="s">
        <v>1272</v>
      </c>
      <c r="B442" s="3" t="s">
        <v>1273</v>
      </c>
      <c r="C442" s="3" t="s">
        <v>228</v>
      </c>
      <c r="D442" s="3" t="s">
        <v>253</v>
      </c>
      <c r="E442" s="3" t="s">
        <v>168</v>
      </c>
      <c r="F442" s="3"/>
      <c r="G442" s="3"/>
    </row>
    <row r="443" spans="1:7" ht="69">
      <c r="A443" s="3" t="s">
        <v>1274</v>
      </c>
      <c r="B443" s="3" t="s">
        <v>1275</v>
      </c>
      <c r="C443" s="3" t="s">
        <v>1276</v>
      </c>
      <c r="D443" s="3" t="s">
        <v>186</v>
      </c>
      <c r="E443" s="3" t="s">
        <v>168</v>
      </c>
      <c r="F443" s="3"/>
      <c r="G443" s="3"/>
    </row>
    <row r="444" spans="1:7" ht="27.6">
      <c r="A444" s="3" t="s">
        <v>1277</v>
      </c>
      <c r="B444" s="3" t="s">
        <v>1278</v>
      </c>
      <c r="C444" s="3" t="s">
        <v>189</v>
      </c>
      <c r="D444" s="3" t="s">
        <v>214</v>
      </c>
      <c r="E444" s="3" t="s">
        <v>168</v>
      </c>
      <c r="F444" s="3"/>
      <c r="G444" s="3"/>
    </row>
    <row r="445" spans="1:7" ht="27.6">
      <c r="A445" s="3" t="s">
        <v>1279</v>
      </c>
      <c r="B445" s="3" t="s">
        <v>1280</v>
      </c>
      <c r="C445" s="3" t="s">
        <v>1281</v>
      </c>
      <c r="D445" s="3" t="s">
        <v>178</v>
      </c>
      <c r="E445" s="3" t="s">
        <v>168</v>
      </c>
      <c r="F445" s="3"/>
      <c r="G445" s="3"/>
    </row>
    <row r="446" spans="1:7" ht="41.4">
      <c r="A446" s="3" t="s">
        <v>1282</v>
      </c>
      <c r="B446" s="3" t="s">
        <v>1283</v>
      </c>
      <c r="C446" s="3" t="s">
        <v>830</v>
      </c>
      <c r="D446" s="3" t="s">
        <v>178</v>
      </c>
      <c r="E446" s="3" t="s">
        <v>168</v>
      </c>
      <c r="F446" s="3"/>
      <c r="G446" s="3"/>
    </row>
    <row r="447" spans="1:7" ht="27.6">
      <c r="A447" s="3" t="s">
        <v>1284</v>
      </c>
      <c r="B447" s="3" t="s">
        <v>1285</v>
      </c>
      <c r="C447" s="3" t="s">
        <v>217</v>
      </c>
      <c r="D447" s="3" t="s">
        <v>248</v>
      </c>
      <c r="E447" s="3" t="s">
        <v>168</v>
      </c>
      <c r="F447" s="3"/>
      <c r="G447" s="3"/>
    </row>
    <row r="448" spans="1:7" ht="27.6">
      <c r="A448" s="3" t="s">
        <v>1286</v>
      </c>
      <c r="B448" s="3" t="s">
        <v>1287</v>
      </c>
      <c r="C448" s="3" t="s">
        <v>172</v>
      </c>
      <c r="D448" s="3" t="s">
        <v>229</v>
      </c>
      <c r="E448" s="3" t="s">
        <v>168</v>
      </c>
      <c r="F448" s="3"/>
      <c r="G448" s="3"/>
    </row>
    <row r="449" spans="1:7" ht="27.6">
      <c r="A449" s="3" t="s">
        <v>1288</v>
      </c>
      <c r="B449" s="3" t="s">
        <v>1289</v>
      </c>
      <c r="C449" s="3" t="s">
        <v>268</v>
      </c>
      <c r="D449" s="3" t="s">
        <v>245</v>
      </c>
      <c r="E449" s="3" t="s">
        <v>168</v>
      </c>
      <c r="F449" s="3"/>
      <c r="G449" s="3"/>
    </row>
    <row r="450" spans="1:7" ht="41.4">
      <c r="A450" s="3" t="s">
        <v>1290</v>
      </c>
      <c r="B450" s="3" t="s">
        <v>1291</v>
      </c>
      <c r="C450" s="3" t="s">
        <v>1292</v>
      </c>
      <c r="D450" s="3" t="s">
        <v>204</v>
      </c>
      <c r="E450" s="3" t="s">
        <v>168</v>
      </c>
      <c r="F450" s="3"/>
      <c r="G450" s="3"/>
    </row>
    <row r="451" spans="1:7" ht="27.6">
      <c r="A451" s="3" t="s">
        <v>1293</v>
      </c>
      <c r="B451" s="3" t="s">
        <v>1294</v>
      </c>
      <c r="C451" s="3" t="s">
        <v>217</v>
      </c>
      <c r="D451" s="3" t="s">
        <v>420</v>
      </c>
      <c r="E451" s="3" t="s">
        <v>168</v>
      </c>
      <c r="F451" s="3"/>
      <c r="G451" s="3"/>
    </row>
    <row r="452" spans="1:7" ht="27.6">
      <c r="A452" s="3" t="s">
        <v>1295</v>
      </c>
      <c r="B452" s="3" t="s">
        <v>1296</v>
      </c>
      <c r="C452" s="3" t="s">
        <v>244</v>
      </c>
      <c r="D452" s="3" t="s">
        <v>664</v>
      </c>
      <c r="E452" s="3" t="s">
        <v>168</v>
      </c>
      <c r="F452" s="3"/>
      <c r="G452" s="3"/>
    </row>
    <row r="453" spans="1:7" ht="27.6">
      <c r="A453" s="3" t="s">
        <v>1297</v>
      </c>
      <c r="B453" s="3" t="s">
        <v>1298</v>
      </c>
      <c r="C453" s="3" t="s">
        <v>345</v>
      </c>
      <c r="D453" s="3" t="s">
        <v>271</v>
      </c>
      <c r="E453" s="3" t="s">
        <v>168</v>
      </c>
      <c r="F453" s="3"/>
      <c r="G453" s="3"/>
    </row>
    <row r="454" spans="1:7" ht="27.6">
      <c r="A454" s="3" t="s">
        <v>1299</v>
      </c>
      <c r="B454" s="3" t="s">
        <v>1300</v>
      </c>
      <c r="C454" s="3" t="s">
        <v>240</v>
      </c>
      <c r="D454" s="3" t="s">
        <v>173</v>
      </c>
      <c r="E454" s="3" t="s">
        <v>168</v>
      </c>
      <c r="F454" s="3"/>
      <c r="G454" s="3"/>
    </row>
    <row r="455" spans="1:7" ht="27.6">
      <c r="A455" s="3" t="s">
        <v>1301</v>
      </c>
      <c r="B455" s="3" t="s">
        <v>1302</v>
      </c>
      <c r="C455" s="3" t="s">
        <v>172</v>
      </c>
      <c r="D455" s="3" t="s">
        <v>178</v>
      </c>
      <c r="E455" s="3" t="s">
        <v>168</v>
      </c>
      <c r="F455" s="3"/>
      <c r="G455" s="3"/>
    </row>
    <row r="456" spans="1:7" ht="27.6">
      <c r="A456" s="3" t="s">
        <v>1303</v>
      </c>
      <c r="B456" s="3" t="s">
        <v>1304</v>
      </c>
      <c r="C456" s="3" t="s">
        <v>244</v>
      </c>
      <c r="D456" s="3" t="s">
        <v>294</v>
      </c>
      <c r="E456" s="3" t="s">
        <v>168</v>
      </c>
      <c r="F456" s="3"/>
      <c r="G456" s="3"/>
    </row>
    <row r="457" spans="1:7" ht="27.6">
      <c r="A457" s="3" t="s">
        <v>1305</v>
      </c>
      <c r="B457" s="3" t="s">
        <v>1306</v>
      </c>
      <c r="C457" s="3" t="s">
        <v>1307</v>
      </c>
      <c r="D457" s="3" t="s">
        <v>186</v>
      </c>
      <c r="E457" s="3" t="s">
        <v>168</v>
      </c>
      <c r="F457" s="3"/>
      <c r="G457" s="3"/>
    </row>
    <row r="458" spans="1:7" ht="27.6">
      <c r="A458" s="3" t="s">
        <v>1308</v>
      </c>
      <c r="B458" s="3" t="s">
        <v>1309</v>
      </c>
      <c r="C458" s="3" t="s">
        <v>345</v>
      </c>
      <c r="D458" s="3" t="s">
        <v>330</v>
      </c>
      <c r="E458" s="3" t="s">
        <v>168</v>
      </c>
      <c r="F458" s="3"/>
      <c r="G458" s="3"/>
    </row>
    <row r="459" spans="1:7" ht="27.6">
      <c r="A459" s="3" t="s">
        <v>1310</v>
      </c>
      <c r="B459" s="3" t="s">
        <v>1311</v>
      </c>
      <c r="C459" s="3" t="s">
        <v>228</v>
      </c>
      <c r="D459" s="3" t="s">
        <v>346</v>
      </c>
      <c r="E459" s="3" t="s">
        <v>168</v>
      </c>
      <c r="F459" s="3"/>
      <c r="G459" s="3"/>
    </row>
    <row r="460" spans="1:7" ht="27.6">
      <c r="A460" s="3" t="s">
        <v>1312</v>
      </c>
      <c r="B460" s="3" t="s">
        <v>1313</v>
      </c>
      <c r="C460" s="3" t="s">
        <v>516</v>
      </c>
      <c r="D460" s="3" t="s">
        <v>167</v>
      </c>
      <c r="E460" s="3" t="s">
        <v>168</v>
      </c>
      <c r="F460" s="3"/>
      <c r="G460" s="3"/>
    </row>
    <row r="461" spans="1:7" ht="27.6">
      <c r="A461" s="3" t="s">
        <v>1314</v>
      </c>
      <c r="B461" s="3" t="s">
        <v>1315</v>
      </c>
      <c r="C461" s="3" t="s">
        <v>196</v>
      </c>
      <c r="D461" s="3" t="s">
        <v>420</v>
      </c>
      <c r="E461" s="3" t="s">
        <v>168</v>
      </c>
      <c r="F461" s="3"/>
      <c r="G461" s="3"/>
    </row>
    <row r="462" spans="1:7" ht="27.6">
      <c r="A462" s="3" t="s">
        <v>1316</v>
      </c>
      <c r="B462" s="3" t="s">
        <v>1317</v>
      </c>
      <c r="C462" s="3" t="s">
        <v>345</v>
      </c>
      <c r="D462" s="3" t="s">
        <v>173</v>
      </c>
      <c r="E462" s="3" t="s">
        <v>168</v>
      </c>
      <c r="F462" s="3"/>
      <c r="G462" s="3"/>
    </row>
    <row r="463" spans="1:7" ht="27.6">
      <c r="A463" s="3" t="s">
        <v>1318</v>
      </c>
      <c r="B463" s="3" t="s">
        <v>1319</v>
      </c>
      <c r="C463" s="3" t="s">
        <v>516</v>
      </c>
      <c r="D463" s="3" t="s">
        <v>330</v>
      </c>
      <c r="E463" s="3" t="s">
        <v>168</v>
      </c>
      <c r="F463" s="3"/>
      <c r="G463" s="3"/>
    </row>
    <row r="464" spans="1:7" ht="27.6">
      <c r="A464" s="3" t="s">
        <v>1320</v>
      </c>
      <c r="B464" s="3" t="s">
        <v>1321</v>
      </c>
      <c r="C464" s="3" t="s">
        <v>200</v>
      </c>
      <c r="D464" s="3" t="s">
        <v>276</v>
      </c>
      <c r="E464" s="3" t="s">
        <v>168</v>
      </c>
      <c r="F464" s="3"/>
      <c r="G464" s="3"/>
    </row>
    <row r="465" spans="1:7" ht="27.6">
      <c r="A465" s="3" t="s">
        <v>1322</v>
      </c>
      <c r="B465" s="3" t="s">
        <v>1323</v>
      </c>
      <c r="C465" s="3" t="s">
        <v>244</v>
      </c>
      <c r="D465" s="3" t="s">
        <v>363</v>
      </c>
      <c r="E465" s="3" t="s">
        <v>168</v>
      </c>
      <c r="F465" s="3"/>
      <c r="G465" s="3"/>
    </row>
    <row r="466" spans="1:7" ht="27.6">
      <c r="A466" s="3" t="s">
        <v>1324</v>
      </c>
      <c r="B466" s="3" t="s">
        <v>1325</v>
      </c>
      <c r="C466" s="3" t="s">
        <v>244</v>
      </c>
      <c r="D466" s="3" t="s">
        <v>360</v>
      </c>
      <c r="E466" s="3" t="s">
        <v>168</v>
      </c>
      <c r="F466" s="3"/>
      <c r="G466" s="3"/>
    </row>
    <row r="467" spans="1:7" ht="27.6">
      <c r="A467" s="3" t="s">
        <v>1326</v>
      </c>
      <c r="B467" s="3" t="s">
        <v>1327</v>
      </c>
      <c r="C467" s="3" t="s">
        <v>1328</v>
      </c>
      <c r="D467" s="3" t="s">
        <v>178</v>
      </c>
      <c r="E467" s="3" t="s">
        <v>168</v>
      </c>
      <c r="F467" s="3"/>
      <c r="G467" s="3"/>
    </row>
    <row r="468" spans="1:7" ht="27.6">
      <c r="A468" s="3" t="s">
        <v>1329</v>
      </c>
      <c r="B468" s="3" t="s">
        <v>1330</v>
      </c>
      <c r="C468" s="3" t="s">
        <v>244</v>
      </c>
      <c r="D468" s="3" t="s">
        <v>271</v>
      </c>
      <c r="E468" s="3" t="s">
        <v>168</v>
      </c>
      <c r="F468" s="3"/>
      <c r="G468" s="3"/>
    </row>
    <row r="469" spans="1:7" ht="27.6">
      <c r="A469" s="3" t="s">
        <v>1331</v>
      </c>
      <c r="B469" s="3" t="s">
        <v>1332</v>
      </c>
      <c r="C469" s="3" t="s">
        <v>1333</v>
      </c>
      <c r="D469" s="3" t="s">
        <v>288</v>
      </c>
      <c r="E469" s="3" t="s">
        <v>168</v>
      </c>
      <c r="F469" s="3"/>
      <c r="G469" s="3"/>
    </row>
    <row r="470" spans="1:7" ht="27.6">
      <c r="A470" s="3" t="s">
        <v>1334</v>
      </c>
      <c r="B470" s="3" t="s">
        <v>1335</v>
      </c>
      <c r="C470" s="3" t="s">
        <v>1179</v>
      </c>
      <c r="D470" s="3" t="s">
        <v>186</v>
      </c>
      <c r="E470" s="3" t="s">
        <v>168</v>
      </c>
      <c r="F470" s="3"/>
      <c r="G470" s="3"/>
    </row>
    <row r="471" spans="1:7" ht="27.6">
      <c r="A471" s="3" t="s">
        <v>1336</v>
      </c>
      <c r="B471" s="3" t="s">
        <v>1337</v>
      </c>
      <c r="C471" s="3" t="s">
        <v>200</v>
      </c>
      <c r="D471" s="3" t="s">
        <v>248</v>
      </c>
      <c r="E471" s="3" t="s">
        <v>168</v>
      </c>
      <c r="F471" s="3"/>
      <c r="G471" s="3"/>
    </row>
    <row r="472" spans="1:7" ht="27.6">
      <c r="A472" s="3" t="s">
        <v>1338</v>
      </c>
      <c r="B472" s="3" t="s">
        <v>1339</v>
      </c>
      <c r="C472" s="3" t="s">
        <v>189</v>
      </c>
      <c r="D472" s="3" t="s">
        <v>346</v>
      </c>
      <c r="E472" s="3" t="s">
        <v>168</v>
      </c>
      <c r="F472" s="3"/>
      <c r="G472" s="3"/>
    </row>
    <row r="473" spans="1:7" ht="27.6">
      <c r="A473" s="3" t="s">
        <v>1340</v>
      </c>
      <c r="B473" s="3" t="s">
        <v>1341</v>
      </c>
      <c r="C473" s="3" t="s">
        <v>1342</v>
      </c>
      <c r="D473" s="3" t="s">
        <v>276</v>
      </c>
      <c r="E473" s="3" t="s">
        <v>168</v>
      </c>
      <c r="F473" s="3"/>
      <c r="G473" s="3"/>
    </row>
    <row r="474" spans="1:7" ht="27.6">
      <c r="A474" s="3" t="s">
        <v>1343</v>
      </c>
      <c r="B474" s="3" t="s">
        <v>1344</v>
      </c>
      <c r="C474" s="3" t="s">
        <v>228</v>
      </c>
      <c r="D474" s="3" t="s">
        <v>197</v>
      </c>
      <c r="E474" s="3" t="s">
        <v>168</v>
      </c>
      <c r="F474" s="3"/>
      <c r="G474" s="3"/>
    </row>
    <row r="475" spans="1:7" ht="27.6">
      <c r="A475" s="3" t="s">
        <v>1345</v>
      </c>
      <c r="B475" s="3" t="s">
        <v>1346</v>
      </c>
      <c r="C475" s="3" t="s">
        <v>345</v>
      </c>
      <c r="D475" s="3" t="s">
        <v>229</v>
      </c>
      <c r="E475" s="3" t="s">
        <v>168</v>
      </c>
      <c r="F475" s="3"/>
      <c r="G475" s="3"/>
    </row>
    <row r="476" spans="1:7" ht="27.6">
      <c r="A476" s="3" t="s">
        <v>1347</v>
      </c>
      <c r="B476" s="3" t="s">
        <v>1348</v>
      </c>
      <c r="C476" s="3" t="s">
        <v>1349</v>
      </c>
      <c r="D476" s="3" t="s">
        <v>186</v>
      </c>
      <c r="E476" s="3" t="s">
        <v>168</v>
      </c>
      <c r="F476" s="3"/>
      <c r="G476" s="3"/>
    </row>
    <row r="477" spans="1:7" ht="27.6">
      <c r="A477" s="3" t="s">
        <v>1350</v>
      </c>
      <c r="B477" s="3" t="s">
        <v>1351</v>
      </c>
      <c r="C477" s="3" t="s">
        <v>268</v>
      </c>
      <c r="D477" s="3" t="s">
        <v>241</v>
      </c>
      <c r="E477" s="3" t="s">
        <v>168</v>
      </c>
      <c r="F477" s="3"/>
      <c r="G477" s="3"/>
    </row>
    <row r="478" spans="1:7" ht="27.6">
      <c r="A478" s="3" t="s">
        <v>1352</v>
      </c>
      <c r="B478" s="3" t="s">
        <v>1353</v>
      </c>
      <c r="C478" s="3" t="s">
        <v>217</v>
      </c>
      <c r="D478" s="3" t="s">
        <v>330</v>
      </c>
      <c r="E478" s="3" t="s">
        <v>168</v>
      </c>
      <c r="F478" s="3"/>
      <c r="G478" s="3"/>
    </row>
    <row r="479" spans="1:7" ht="41.4">
      <c r="A479" s="3" t="s">
        <v>1354</v>
      </c>
      <c r="B479" s="3" t="s">
        <v>1355</v>
      </c>
      <c r="C479" s="3" t="s">
        <v>1356</v>
      </c>
      <c r="D479" s="3" t="s">
        <v>178</v>
      </c>
      <c r="E479" s="3" t="s">
        <v>168</v>
      </c>
      <c r="F479" s="3"/>
      <c r="G479" s="3"/>
    </row>
    <row r="480" spans="1:7" ht="27.6">
      <c r="A480" s="3" t="s">
        <v>1357</v>
      </c>
      <c r="B480" s="3" t="s">
        <v>1358</v>
      </c>
      <c r="C480" s="3" t="s">
        <v>345</v>
      </c>
      <c r="D480" s="3" t="s">
        <v>253</v>
      </c>
      <c r="E480" s="3" t="s">
        <v>168</v>
      </c>
      <c r="F480" s="3"/>
      <c r="G480" s="3"/>
    </row>
    <row r="481" spans="1:7" ht="27.6">
      <c r="A481" s="3" t="s">
        <v>1359</v>
      </c>
      <c r="B481" s="3" t="s">
        <v>1360</v>
      </c>
      <c r="C481" s="3" t="s">
        <v>516</v>
      </c>
      <c r="D481" s="3" t="s">
        <v>303</v>
      </c>
      <c r="E481" s="3" t="s">
        <v>168</v>
      </c>
      <c r="F481" s="3"/>
      <c r="G481" s="3"/>
    </row>
    <row r="482" spans="1:7" ht="27.6">
      <c r="A482" s="3" t="s">
        <v>1361</v>
      </c>
      <c r="B482" s="3" t="s">
        <v>1362</v>
      </c>
      <c r="C482" s="3" t="s">
        <v>189</v>
      </c>
      <c r="D482" s="3" t="s">
        <v>363</v>
      </c>
      <c r="E482" s="3" t="s">
        <v>168</v>
      </c>
      <c r="F482" s="3"/>
      <c r="G482" s="3"/>
    </row>
    <row r="483" spans="1:7" ht="27.6">
      <c r="A483" s="3" t="s">
        <v>1363</v>
      </c>
      <c r="B483" s="3" t="s">
        <v>1364</v>
      </c>
      <c r="C483" s="3" t="s">
        <v>200</v>
      </c>
      <c r="D483" s="3" t="s">
        <v>271</v>
      </c>
      <c r="E483" s="3" t="s">
        <v>168</v>
      </c>
      <c r="F483" s="3"/>
      <c r="G483" s="3"/>
    </row>
    <row r="484" spans="1:7" ht="27.6">
      <c r="A484" s="3" t="s">
        <v>1365</v>
      </c>
      <c r="B484" s="3" t="s">
        <v>1366</v>
      </c>
      <c r="C484" s="3" t="s">
        <v>345</v>
      </c>
      <c r="D484" s="3" t="s">
        <v>197</v>
      </c>
      <c r="E484" s="3" t="s">
        <v>168</v>
      </c>
      <c r="F484" s="3"/>
      <c r="G484" s="3"/>
    </row>
    <row r="485" spans="1:7" ht="27.6">
      <c r="A485" s="3" t="s">
        <v>1367</v>
      </c>
      <c r="B485" s="3" t="s">
        <v>1368</v>
      </c>
      <c r="C485" s="3" t="s">
        <v>1369</v>
      </c>
      <c r="D485" s="3" t="s">
        <v>186</v>
      </c>
      <c r="E485" s="3" t="s">
        <v>168</v>
      </c>
      <c r="F485" s="3"/>
      <c r="G485" s="3"/>
    </row>
    <row r="486" spans="1:7" ht="27.6">
      <c r="A486" s="3" t="s">
        <v>1370</v>
      </c>
      <c r="B486" s="3" t="s">
        <v>1371</v>
      </c>
      <c r="C486" s="3" t="s">
        <v>1372</v>
      </c>
      <c r="D486" s="3" t="s">
        <v>178</v>
      </c>
      <c r="E486" s="3" t="s">
        <v>168</v>
      </c>
      <c r="F486" s="3"/>
      <c r="G486" s="3"/>
    </row>
    <row r="487" spans="1:7" ht="27.6">
      <c r="A487" s="3" t="s">
        <v>1373</v>
      </c>
      <c r="B487" s="3" t="s">
        <v>1374</v>
      </c>
      <c r="C487" s="3" t="s">
        <v>200</v>
      </c>
      <c r="D487" s="3" t="s">
        <v>354</v>
      </c>
      <c r="E487" s="3" t="s">
        <v>168</v>
      </c>
      <c r="F487" s="3"/>
      <c r="G487" s="3"/>
    </row>
    <row r="488" spans="1:7" ht="27.6">
      <c r="A488" s="3" t="s">
        <v>1375</v>
      </c>
      <c r="B488" s="3" t="s">
        <v>1376</v>
      </c>
      <c r="C488" s="3" t="s">
        <v>244</v>
      </c>
      <c r="D488" s="3" t="s">
        <v>469</v>
      </c>
      <c r="E488" s="3" t="s">
        <v>168</v>
      </c>
      <c r="F488" s="3"/>
      <c r="G488" s="3"/>
    </row>
    <row r="489" spans="1:7" ht="27.6">
      <c r="A489" s="3" t="s">
        <v>1377</v>
      </c>
      <c r="B489" s="3" t="s">
        <v>1378</v>
      </c>
      <c r="C489" s="3" t="s">
        <v>228</v>
      </c>
      <c r="D489" s="3" t="s">
        <v>271</v>
      </c>
      <c r="E489" s="3" t="s">
        <v>168</v>
      </c>
      <c r="F489" s="3"/>
      <c r="G489" s="3"/>
    </row>
    <row r="490" spans="1:7" ht="27.6">
      <c r="A490" s="3" t="s">
        <v>1379</v>
      </c>
      <c r="B490" s="3" t="s">
        <v>1380</v>
      </c>
      <c r="C490" s="3" t="s">
        <v>345</v>
      </c>
      <c r="D490" s="3" t="s">
        <v>279</v>
      </c>
      <c r="E490" s="3" t="s">
        <v>168</v>
      </c>
      <c r="F490" s="3"/>
      <c r="G490" s="3"/>
    </row>
    <row r="491" spans="1:7" ht="27.6">
      <c r="A491" s="3" t="s">
        <v>1381</v>
      </c>
      <c r="B491" s="3" t="s">
        <v>1382</v>
      </c>
      <c r="C491" s="3" t="s">
        <v>1383</v>
      </c>
      <c r="D491" s="3" t="s">
        <v>204</v>
      </c>
      <c r="E491" s="3" t="s">
        <v>168</v>
      </c>
      <c r="F491" s="3"/>
      <c r="G491" s="3"/>
    </row>
    <row r="492" spans="1:7" ht="27.6">
      <c r="A492" s="3" t="s">
        <v>1384</v>
      </c>
      <c r="B492" s="3" t="s">
        <v>1385</v>
      </c>
      <c r="C492" s="3" t="s">
        <v>1386</v>
      </c>
      <c r="D492" s="3" t="s">
        <v>186</v>
      </c>
      <c r="E492" s="3" t="s">
        <v>168</v>
      </c>
      <c r="F492" s="3"/>
      <c r="G492" s="3"/>
    </row>
    <row r="493" spans="1:7" ht="27.6">
      <c r="A493" s="3" t="s">
        <v>1387</v>
      </c>
      <c r="B493" s="3" t="s">
        <v>1388</v>
      </c>
      <c r="C493" s="3" t="s">
        <v>196</v>
      </c>
      <c r="D493" s="3" t="s">
        <v>469</v>
      </c>
      <c r="E493" s="3" t="s">
        <v>168</v>
      </c>
      <c r="F493" s="3"/>
      <c r="G493" s="3"/>
    </row>
    <row r="494" spans="1:7" ht="27.6">
      <c r="A494" s="3" t="s">
        <v>1389</v>
      </c>
      <c r="B494" s="3" t="s">
        <v>1390</v>
      </c>
      <c r="C494" s="3" t="s">
        <v>262</v>
      </c>
      <c r="D494" s="3" t="s">
        <v>173</v>
      </c>
      <c r="E494" s="3" t="s">
        <v>168</v>
      </c>
      <c r="F494" s="3"/>
      <c r="G494" s="3"/>
    </row>
    <row r="495" spans="1:7" ht="27.6">
      <c r="A495" s="3" t="s">
        <v>1391</v>
      </c>
      <c r="B495" s="3" t="s">
        <v>1392</v>
      </c>
      <c r="C495" s="3" t="s">
        <v>240</v>
      </c>
      <c r="D495" s="3" t="s">
        <v>349</v>
      </c>
      <c r="E495" s="3" t="s">
        <v>168</v>
      </c>
      <c r="F495" s="3"/>
      <c r="G495" s="3"/>
    </row>
    <row r="496" spans="1:7" ht="27.6">
      <c r="A496" s="3" t="s">
        <v>1393</v>
      </c>
      <c r="B496" s="3" t="s">
        <v>1394</v>
      </c>
      <c r="C496" s="3" t="s">
        <v>1395</v>
      </c>
      <c r="D496" s="3" t="s">
        <v>178</v>
      </c>
      <c r="E496" s="3" t="s">
        <v>168</v>
      </c>
      <c r="F496" s="3"/>
      <c r="G496" s="3"/>
    </row>
    <row r="497" spans="1:7" ht="27.6">
      <c r="A497" s="3" t="s">
        <v>1396</v>
      </c>
      <c r="B497" s="3" t="s">
        <v>1397</v>
      </c>
      <c r="C497" s="3" t="s">
        <v>1398</v>
      </c>
      <c r="D497" s="3" t="s">
        <v>178</v>
      </c>
      <c r="E497" s="3" t="s">
        <v>168</v>
      </c>
      <c r="F497" s="3"/>
      <c r="G497" s="3"/>
    </row>
    <row r="498" spans="1:7" ht="27.6">
      <c r="A498" s="3" t="s">
        <v>1399</v>
      </c>
      <c r="B498" s="3" t="s">
        <v>1400</v>
      </c>
      <c r="C498" s="3" t="s">
        <v>1401</v>
      </c>
      <c r="D498" s="3" t="s">
        <v>204</v>
      </c>
      <c r="E498" s="3" t="s">
        <v>168</v>
      </c>
      <c r="F498" s="3"/>
      <c r="G498" s="3"/>
    </row>
    <row r="499" spans="1:7" ht="27.6">
      <c r="A499" s="3" t="s">
        <v>1402</v>
      </c>
      <c r="B499" s="3" t="s">
        <v>1403</v>
      </c>
      <c r="C499" s="3" t="s">
        <v>1404</v>
      </c>
      <c r="D499" s="3" t="s">
        <v>303</v>
      </c>
      <c r="E499" s="3" t="s">
        <v>168</v>
      </c>
      <c r="F499" s="3"/>
      <c r="G499" s="3"/>
    </row>
    <row r="500" spans="1:7" ht="27.6">
      <c r="A500" s="3" t="s">
        <v>1405</v>
      </c>
      <c r="B500" s="3" t="s">
        <v>1406</v>
      </c>
      <c r="C500" s="3" t="s">
        <v>262</v>
      </c>
      <c r="D500" s="3" t="s">
        <v>420</v>
      </c>
      <c r="E500" s="3" t="s">
        <v>168</v>
      </c>
      <c r="F500" s="3"/>
      <c r="G500" s="3"/>
    </row>
    <row r="501" spans="1:7" ht="27.6">
      <c r="A501" s="3" t="s">
        <v>1407</v>
      </c>
      <c r="B501" s="3" t="s">
        <v>1408</v>
      </c>
      <c r="C501" s="3" t="s">
        <v>1409</v>
      </c>
      <c r="D501" s="3" t="s">
        <v>186</v>
      </c>
      <c r="E501" s="3" t="s">
        <v>168</v>
      </c>
      <c r="F501" s="3"/>
      <c r="G501" s="3"/>
    </row>
    <row r="502" spans="1:7" ht="27.6">
      <c r="A502" s="3" t="s">
        <v>1410</v>
      </c>
      <c r="B502" s="3" t="s">
        <v>1411</v>
      </c>
      <c r="C502" s="3" t="s">
        <v>189</v>
      </c>
      <c r="D502" s="3" t="s">
        <v>271</v>
      </c>
      <c r="E502" s="3" t="s">
        <v>168</v>
      </c>
      <c r="F502" s="3"/>
      <c r="G502" s="3"/>
    </row>
    <row r="503" spans="1:7" ht="27.6">
      <c r="A503" s="3" t="s">
        <v>1412</v>
      </c>
      <c r="B503" s="3" t="s">
        <v>1413</v>
      </c>
      <c r="C503" s="3" t="s">
        <v>196</v>
      </c>
      <c r="D503" s="3" t="s">
        <v>248</v>
      </c>
      <c r="E503" s="3" t="s">
        <v>168</v>
      </c>
      <c r="F503" s="3"/>
      <c r="G503" s="3"/>
    </row>
    <row r="504" spans="1:7" ht="27.6">
      <c r="A504" s="3" t="s">
        <v>1414</v>
      </c>
      <c r="B504" s="3" t="s">
        <v>1415</v>
      </c>
      <c r="C504" s="3" t="s">
        <v>189</v>
      </c>
      <c r="D504" s="3" t="s">
        <v>285</v>
      </c>
      <c r="E504" s="3" t="s">
        <v>168</v>
      </c>
      <c r="F504" s="3"/>
      <c r="G504" s="3"/>
    </row>
    <row r="505" spans="1:7" ht="27.6">
      <c r="A505" s="3" t="s">
        <v>1416</v>
      </c>
      <c r="B505" s="3" t="s">
        <v>1417</v>
      </c>
      <c r="C505" s="3" t="s">
        <v>1418</v>
      </c>
      <c r="D505" s="3"/>
      <c r="E505" s="3" t="s">
        <v>205</v>
      </c>
      <c r="F505" s="3"/>
      <c r="G505" s="3"/>
    </row>
    <row r="506" spans="1:7" ht="27.6">
      <c r="A506" s="3" t="s">
        <v>1419</v>
      </c>
      <c r="B506" s="3" t="s">
        <v>1420</v>
      </c>
      <c r="C506" s="3" t="s">
        <v>1421</v>
      </c>
      <c r="D506" s="3"/>
      <c r="E506" s="3" t="s">
        <v>205</v>
      </c>
      <c r="F506" s="3"/>
      <c r="G506" s="3"/>
    </row>
    <row r="507" spans="1:7" ht="27.6">
      <c r="A507" s="3" t="s">
        <v>1422</v>
      </c>
      <c r="B507" s="3" t="s">
        <v>1423</v>
      </c>
      <c r="C507" s="3" t="s">
        <v>1424</v>
      </c>
      <c r="D507" s="3"/>
      <c r="E507" s="3" t="s">
        <v>205</v>
      </c>
      <c r="F507" s="3"/>
      <c r="G507" s="3"/>
    </row>
    <row r="508" spans="1:7" ht="27.6">
      <c r="A508" s="3" t="s">
        <v>1425</v>
      </c>
      <c r="B508" s="3" t="s">
        <v>1426</v>
      </c>
      <c r="C508" s="3" t="s">
        <v>1427</v>
      </c>
      <c r="D508" s="3"/>
      <c r="E508" s="3" t="s">
        <v>205</v>
      </c>
      <c r="F508" s="3"/>
      <c r="G508" s="3"/>
    </row>
    <row r="509" spans="1:7" ht="27.6">
      <c r="A509" s="3" t="s">
        <v>1428</v>
      </c>
      <c r="B509" s="3" t="s">
        <v>1429</v>
      </c>
      <c r="C509" s="3" t="s">
        <v>1430</v>
      </c>
      <c r="D509" s="3"/>
      <c r="E509" s="3" t="s">
        <v>205</v>
      </c>
      <c r="F509" s="3"/>
      <c r="G509" s="3"/>
    </row>
    <row r="510" spans="1:7" ht="27.6">
      <c r="A510" s="3" t="s">
        <v>1431</v>
      </c>
      <c r="B510" s="3" t="s">
        <v>1432</v>
      </c>
      <c r="C510" s="3" t="s">
        <v>1433</v>
      </c>
      <c r="D510" s="3"/>
      <c r="E510" s="3" t="s">
        <v>205</v>
      </c>
      <c r="F510" s="3"/>
      <c r="G510" s="3"/>
    </row>
    <row r="511" spans="1:7" ht="27.6">
      <c r="A511" s="3" t="s">
        <v>1434</v>
      </c>
      <c r="B511" s="3" t="s">
        <v>1435</v>
      </c>
      <c r="C511" s="3" t="s">
        <v>1436</v>
      </c>
      <c r="D511" s="3"/>
      <c r="E511" s="3" t="s">
        <v>205</v>
      </c>
      <c r="F511" s="3"/>
      <c r="G511" s="3"/>
    </row>
    <row r="512" spans="1:7" ht="27.6">
      <c r="A512" s="3" t="s">
        <v>1437</v>
      </c>
      <c r="B512" s="3" t="s">
        <v>1438</v>
      </c>
      <c r="C512" s="3" t="s">
        <v>1439</v>
      </c>
      <c r="D512" s="3"/>
      <c r="E512" s="3" t="s">
        <v>205</v>
      </c>
      <c r="F512" s="3"/>
      <c r="G512" s="3"/>
    </row>
    <row r="513" spans="1:7" ht="27.6">
      <c r="A513" s="3" t="s">
        <v>1440</v>
      </c>
      <c r="B513" s="3" t="s">
        <v>1441</v>
      </c>
      <c r="C513" s="3" t="s">
        <v>1442</v>
      </c>
      <c r="D513" s="3"/>
      <c r="E513" s="3" t="s">
        <v>205</v>
      </c>
      <c r="F513" s="3"/>
      <c r="G513" s="3"/>
    </row>
    <row r="514" spans="1:7" ht="27.6">
      <c r="A514" s="3" t="s">
        <v>1443</v>
      </c>
      <c r="B514" s="3" t="s">
        <v>1444</v>
      </c>
      <c r="C514" s="3" t="s">
        <v>1445</v>
      </c>
      <c r="D514" s="3"/>
      <c r="E514" s="3" t="s">
        <v>205</v>
      </c>
      <c r="F514" s="3"/>
      <c r="G514" s="3"/>
    </row>
    <row r="515" spans="1:7" ht="27.6">
      <c r="A515" s="3" t="s">
        <v>1446</v>
      </c>
      <c r="B515" s="3" t="s">
        <v>1447</v>
      </c>
      <c r="C515" s="3" t="s">
        <v>1448</v>
      </c>
      <c r="D515" s="3"/>
      <c r="E515" s="3" t="s">
        <v>205</v>
      </c>
      <c r="F515" s="3"/>
      <c r="G515" s="3"/>
    </row>
    <row r="516" spans="1:7" ht="27.6">
      <c r="A516" s="3" t="s">
        <v>1449</v>
      </c>
      <c r="B516" s="3" t="s">
        <v>1450</v>
      </c>
      <c r="C516" s="3" t="s">
        <v>1451</v>
      </c>
      <c r="D516" s="3"/>
      <c r="E516" s="3" t="s">
        <v>205</v>
      </c>
      <c r="F516" s="3"/>
      <c r="G516" s="3"/>
    </row>
    <row r="517" spans="1:7" ht="27.6">
      <c r="A517" s="3" t="s">
        <v>1452</v>
      </c>
      <c r="B517" s="3" t="s">
        <v>1453</v>
      </c>
      <c r="C517" s="3" t="s">
        <v>1454</v>
      </c>
      <c r="D517" s="3"/>
      <c r="E517" s="3" t="s">
        <v>205</v>
      </c>
      <c r="F517" s="3"/>
      <c r="G517" s="3"/>
    </row>
    <row r="518" spans="1:7" ht="27.6">
      <c r="A518" s="3" t="s">
        <v>1455</v>
      </c>
      <c r="B518" s="3" t="s">
        <v>1456</v>
      </c>
      <c r="C518" s="3" t="s">
        <v>1457</v>
      </c>
      <c r="D518" s="3"/>
      <c r="E518" s="3" t="s">
        <v>205</v>
      </c>
      <c r="F518" s="3"/>
      <c r="G518" s="3"/>
    </row>
    <row r="519" spans="1:7" ht="27.6">
      <c r="A519" s="3" t="s">
        <v>1458</v>
      </c>
      <c r="B519" s="3" t="s">
        <v>1459</v>
      </c>
      <c r="C519" s="3" t="s">
        <v>1460</v>
      </c>
      <c r="D519" s="3"/>
      <c r="E519" s="3" t="s">
        <v>205</v>
      </c>
      <c r="F519" s="3"/>
      <c r="G519" s="3"/>
    </row>
    <row r="520" spans="1:7" ht="27.6">
      <c r="A520" s="3" t="s">
        <v>1461</v>
      </c>
      <c r="B520" s="3" t="s">
        <v>1462</v>
      </c>
      <c r="C520" s="3" t="s">
        <v>1463</v>
      </c>
      <c r="D520" s="3"/>
      <c r="E520" s="3" t="s">
        <v>205</v>
      </c>
      <c r="F520" s="3"/>
      <c r="G520" s="3"/>
    </row>
    <row r="521" spans="1:7" ht="27.6">
      <c r="A521" s="3" t="s">
        <v>1464</v>
      </c>
      <c r="B521" s="3" t="s">
        <v>1465</v>
      </c>
      <c r="C521" s="3" t="s">
        <v>1466</v>
      </c>
      <c r="D521" s="3"/>
      <c r="E521" s="3" t="s">
        <v>205</v>
      </c>
      <c r="F521" s="3"/>
      <c r="G521" s="3"/>
    </row>
    <row r="522" spans="1:7" ht="27.6">
      <c r="A522" s="3" t="s">
        <v>1467</v>
      </c>
      <c r="B522" s="3" t="s">
        <v>1468</v>
      </c>
      <c r="C522" s="3" t="s">
        <v>1469</v>
      </c>
      <c r="D522" s="3"/>
      <c r="E522" s="3" t="s">
        <v>205</v>
      </c>
      <c r="F522" s="3"/>
      <c r="G522" s="3"/>
    </row>
    <row r="523" spans="1:7" ht="27.6">
      <c r="A523" s="3" t="s">
        <v>1470</v>
      </c>
      <c r="B523" s="3" t="s">
        <v>1471</v>
      </c>
      <c r="C523" s="3" t="s">
        <v>1472</v>
      </c>
      <c r="D523" s="3"/>
      <c r="E523" s="3" t="s">
        <v>205</v>
      </c>
      <c r="F523" s="3"/>
      <c r="G523" s="3"/>
    </row>
    <row r="524" spans="1:7" ht="27.6">
      <c r="A524" s="3" t="s">
        <v>1473</v>
      </c>
      <c r="B524" s="3" t="s">
        <v>1474</v>
      </c>
      <c r="C524" s="3" t="s">
        <v>1475</v>
      </c>
      <c r="D524" s="3"/>
      <c r="E524" s="3" t="s">
        <v>205</v>
      </c>
      <c r="F524" s="3"/>
      <c r="G524" s="3"/>
    </row>
    <row r="525" spans="1:7" ht="27.6">
      <c r="A525" s="3" t="s">
        <v>1476</v>
      </c>
      <c r="B525" s="3" t="s">
        <v>1477</v>
      </c>
      <c r="C525" s="3" t="s">
        <v>1478</v>
      </c>
      <c r="D525" s="3"/>
      <c r="E525" s="3" t="s">
        <v>205</v>
      </c>
      <c r="F525" s="3"/>
      <c r="G525" s="3"/>
    </row>
    <row r="526" spans="1:7" ht="27.6">
      <c r="A526" s="3" t="s">
        <v>1479</v>
      </c>
      <c r="B526" s="3" t="s">
        <v>1480</v>
      </c>
      <c r="C526" s="3" t="s">
        <v>1481</v>
      </c>
      <c r="D526" s="3"/>
      <c r="E526" s="3" t="s">
        <v>205</v>
      </c>
      <c r="F526" s="3"/>
      <c r="G526" s="3"/>
    </row>
    <row r="527" spans="1:7" ht="27.6">
      <c r="A527" s="3" t="s">
        <v>1482</v>
      </c>
      <c r="B527" s="3" t="s">
        <v>1483</v>
      </c>
      <c r="C527" s="3" t="s">
        <v>1484</v>
      </c>
      <c r="D527" s="3"/>
      <c r="E527" s="3" t="s">
        <v>205</v>
      </c>
      <c r="F527" s="3"/>
      <c r="G527" s="3"/>
    </row>
    <row r="528" spans="1:7" ht="27.6">
      <c r="A528" s="3" t="s">
        <v>1485</v>
      </c>
      <c r="B528" s="3" t="s">
        <v>1486</v>
      </c>
      <c r="C528" s="3" t="s">
        <v>1487</v>
      </c>
      <c r="D528" s="3"/>
      <c r="E528" s="3" t="s">
        <v>205</v>
      </c>
      <c r="F528" s="3"/>
      <c r="G528" s="3"/>
    </row>
    <row r="529" spans="1:7" ht="27.6">
      <c r="A529" s="3" t="s">
        <v>1488</v>
      </c>
      <c r="B529" s="3" t="s">
        <v>1489</v>
      </c>
      <c r="C529" s="3" t="s">
        <v>1490</v>
      </c>
      <c r="D529" s="3"/>
      <c r="E529" s="3" t="s">
        <v>205</v>
      </c>
      <c r="F529" s="3"/>
      <c r="G529" s="3"/>
    </row>
    <row r="530" spans="1:7" ht="27.6">
      <c r="A530" s="3" t="s">
        <v>1491</v>
      </c>
      <c r="B530" s="3" t="s">
        <v>1492</v>
      </c>
      <c r="C530" s="3" t="s">
        <v>1493</v>
      </c>
      <c r="D530" s="3"/>
      <c r="E530" s="3" t="s">
        <v>205</v>
      </c>
      <c r="F530" s="3"/>
      <c r="G530" s="3"/>
    </row>
    <row r="531" spans="1:7" ht="27.6">
      <c r="A531" s="3" t="s">
        <v>1494</v>
      </c>
      <c r="B531" s="3" t="s">
        <v>1495</v>
      </c>
      <c r="C531" s="3" t="s">
        <v>1496</v>
      </c>
      <c r="D531" s="3"/>
      <c r="E531" s="3" t="s">
        <v>205</v>
      </c>
      <c r="F531" s="3"/>
      <c r="G531" s="3"/>
    </row>
    <row r="532" spans="1:7" ht="27.6">
      <c r="A532" s="3" t="s">
        <v>1497</v>
      </c>
      <c r="B532" s="3" t="s">
        <v>1498</v>
      </c>
      <c r="C532" s="3" t="s">
        <v>1499</v>
      </c>
      <c r="D532" s="3"/>
      <c r="E532" s="3" t="s">
        <v>205</v>
      </c>
      <c r="F532" s="3"/>
      <c r="G532" s="3"/>
    </row>
    <row r="533" spans="1:7" ht="27.6">
      <c r="A533" s="3" t="s">
        <v>1500</v>
      </c>
      <c r="B533" s="3" t="s">
        <v>1501</v>
      </c>
      <c r="C533" s="3" t="s">
        <v>1502</v>
      </c>
      <c r="D533" s="3"/>
      <c r="E533" s="3" t="s">
        <v>205</v>
      </c>
      <c r="F533" s="3"/>
      <c r="G533" s="3"/>
    </row>
    <row r="534" spans="1:7" ht="27.6">
      <c r="A534" s="3" t="s">
        <v>1503</v>
      </c>
      <c r="B534" s="3" t="s">
        <v>1504</v>
      </c>
      <c r="C534" s="3" t="s">
        <v>1505</v>
      </c>
      <c r="D534" s="3"/>
      <c r="E534" s="3" t="s">
        <v>205</v>
      </c>
      <c r="F534" s="3"/>
      <c r="G534" s="3"/>
    </row>
    <row r="535" spans="1:7" ht="27.6">
      <c r="A535" s="3" t="s">
        <v>1506</v>
      </c>
      <c r="B535" s="3" t="s">
        <v>1507</v>
      </c>
      <c r="C535" s="3" t="s">
        <v>1508</v>
      </c>
      <c r="D535" s="3"/>
      <c r="E535" s="3" t="s">
        <v>205</v>
      </c>
      <c r="F535" s="3"/>
      <c r="G535" s="3"/>
    </row>
    <row r="536" spans="1:7" ht="27.6">
      <c r="A536" s="3" t="s">
        <v>1509</v>
      </c>
      <c r="B536" s="3" t="s">
        <v>1510</v>
      </c>
      <c r="C536" s="3" t="s">
        <v>1511</v>
      </c>
      <c r="D536" s="3"/>
      <c r="E536" s="3" t="s">
        <v>205</v>
      </c>
      <c r="F536" s="3"/>
      <c r="G536" s="3"/>
    </row>
    <row r="537" spans="1:7" ht="27.6">
      <c r="A537" s="3" t="s">
        <v>1512</v>
      </c>
      <c r="B537" s="3" t="s">
        <v>1513</v>
      </c>
      <c r="C537" s="3" t="s">
        <v>1514</v>
      </c>
      <c r="D537" s="3"/>
      <c r="E537" s="3" t="s">
        <v>205</v>
      </c>
      <c r="F537" s="3"/>
      <c r="G537" s="3"/>
    </row>
    <row r="538" spans="1:7" ht="27.6">
      <c r="A538" s="3" t="s">
        <v>1515</v>
      </c>
      <c r="B538" s="3" t="s">
        <v>1516</v>
      </c>
      <c r="C538" s="3" t="s">
        <v>1517</v>
      </c>
      <c r="D538" s="3"/>
      <c r="E538" s="3" t="s">
        <v>205</v>
      </c>
      <c r="F538" s="3"/>
      <c r="G538" s="3"/>
    </row>
    <row r="539" spans="1:7" ht="27.6">
      <c r="A539" s="3" t="s">
        <v>1518</v>
      </c>
      <c r="B539" s="3" t="s">
        <v>1519</v>
      </c>
      <c r="C539" s="3" t="s">
        <v>1520</v>
      </c>
      <c r="D539" s="3"/>
      <c r="E539" s="3" t="s">
        <v>205</v>
      </c>
      <c r="F539" s="3"/>
      <c r="G539" s="3"/>
    </row>
    <row r="540" spans="1:7" ht="27.6">
      <c r="A540" s="3" t="s">
        <v>1521</v>
      </c>
      <c r="B540" s="3" t="s">
        <v>1522</v>
      </c>
      <c r="C540" s="3" t="s">
        <v>1523</v>
      </c>
      <c r="D540" s="3"/>
      <c r="E540" s="3" t="s">
        <v>205</v>
      </c>
      <c r="F540" s="3"/>
      <c r="G540" s="3"/>
    </row>
    <row r="541" spans="1:7" ht="27.6">
      <c r="A541" s="3" t="s">
        <v>1524</v>
      </c>
      <c r="B541" s="3" t="s">
        <v>1525</v>
      </c>
      <c r="C541" s="3" t="s">
        <v>1526</v>
      </c>
      <c r="D541" s="3"/>
      <c r="E541" s="3" t="s">
        <v>205</v>
      </c>
      <c r="F541" s="3"/>
      <c r="G541" s="3"/>
    </row>
    <row r="542" spans="1:7" ht="27.6">
      <c r="A542" s="3" t="s">
        <v>1527</v>
      </c>
      <c r="B542" s="3" t="s">
        <v>1528</v>
      </c>
      <c r="C542" s="3" t="s">
        <v>1529</v>
      </c>
      <c r="D542" s="3"/>
      <c r="E542" s="3" t="s">
        <v>205</v>
      </c>
      <c r="F542" s="3"/>
      <c r="G542" s="3"/>
    </row>
    <row r="543" spans="1:7" ht="27.6">
      <c r="A543" s="3" t="s">
        <v>1530</v>
      </c>
      <c r="B543" s="3" t="s">
        <v>1531</v>
      </c>
      <c r="C543" s="3" t="s">
        <v>1532</v>
      </c>
      <c r="D543" s="3"/>
      <c r="E543" s="3" t="s">
        <v>205</v>
      </c>
      <c r="F543" s="3"/>
      <c r="G543" s="3"/>
    </row>
    <row r="544" spans="1:7" ht="27.6">
      <c r="A544" s="3" t="s">
        <v>1533</v>
      </c>
      <c r="B544" s="3" t="s">
        <v>1534</v>
      </c>
      <c r="C544" s="3" t="s">
        <v>1535</v>
      </c>
      <c r="D544" s="3"/>
      <c r="E544" s="3" t="s">
        <v>205</v>
      </c>
      <c r="F544" s="3"/>
      <c r="G544" s="3"/>
    </row>
    <row r="545" spans="1:7" ht="27.6">
      <c r="A545" s="3" t="s">
        <v>1536</v>
      </c>
      <c r="B545" s="3" t="s">
        <v>1537</v>
      </c>
      <c r="C545" s="3" t="s">
        <v>1538</v>
      </c>
      <c r="D545" s="3"/>
      <c r="E545" s="3" t="s">
        <v>205</v>
      </c>
      <c r="F545" s="3"/>
      <c r="G545" s="3"/>
    </row>
    <row r="546" spans="1:7" ht="27.6">
      <c r="A546" s="3" t="s">
        <v>1539</v>
      </c>
      <c r="B546" s="3" t="s">
        <v>1540</v>
      </c>
      <c r="C546" s="3" t="s">
        <v>1541</v>
      </c>
      <c r="D546" s="3"/>
      <c r="E546" s="3" t="s">
        <v>205</v>
      </c>
      <c r="F546" s="3"/>
      <c r="G546" s="3"/>
    </row>
    <row r="547" spans="1:7" ht="27.6">
      <c r="A547" s="3" t="s">
        <v>1542</v>
      </c>
      <c r="B547" s="3" t="s">
        <v>1543</v>
      </c>
      <c r="C547" s="3" t="s">
        <v>1544</v>
      </c>
      <c r="D547" s="3"/>
      <c r="E547" s="3" t="s">
        <v>205</v>
      </c>
      <c r="F547" s="3"/>
      <c r="G547" s="3"/>
    </row>
    <row r="548" spans="1:7" ht="27.6">
      <c r="A548" s="3" t="s">
        <v>1545</v>
      </c>
      <c r="B548" s="3" t="s">
        <v>1546</v>
      </c>
      <c r="C548" s="3" t="s">
        <v>1547</v>
      </c>
      <c r="D548" s="3"/>
      <c r="E548" s="3" t="s">
        <v>205</v>
      </c>
      <c r="F548" s="3"/>
      <c r="G548" s="3"/>
    </row>
    <row r="549" spans="1:7" ht="27.6">
      <c r="A549" s="3" t="s">
        <v>1548</v>
      </c>
      <c r="B549" s="3" t="s">
        <v>1549</v>
      </c>
      <c r="C549" s="3" t="s">
        <v>1550</v>
      </c>
      <c r="D549" s="3"/>
      <c r="E549" s="3" t="s">
        <v>205</v>
      </c>
      <c r="F549" s="3"/>
      <c r="G549" s="3"/>
    </row>
    <row r="550" spans="1:7" ht="27.6">
      <c r="A550" s="3" t="s">
        <v>1551</v>
      </c>
      <c r="B550" s="3" t="s">
        <v>1552</v>
      </c>
      <c r="C550" s="3" t="s">
        <v>1553</v>
      </c>
      <c r="D550" s="3"/>
      <c r="E550" s="3" t="s">
        <v>205</v>
      </c>
      <c r="F550" s="3"/>
      <c r="G550" s="3"/>
    </row>
    <row r="551" spans="1:7" ht="27.6">
      <c r="A551" s="3" t="s">
        <v>1554</v>
      </c>
      <c r="B551" s="3" t="s">
        <v>1555</v>
      </c>
      <c r="C551" s="3" t="s">
        <v>1556</v>
      </c>
      <c r="D551" s="3"/>
      <c r="E551" s="3" t="s">
        <v>205</v>
      </c>
      <c r="F551" s="3"/>
      <c r="G551" s="3"/>
    </row>
    <row r="552" spans="1:7" ht="27.6">
      <c r="A552" s="3" t="s">
        <v>1557</v>
      </c>
      <c r="B552" s="3" t="s">
        <v>1558</v>
      </c>
      <c r="C552" s="3" t="s">
        <v>1559</v>
      </c>
      <c r="D552" s="3"/>
      <c r="E552" s="3" t="s">
        <v>205</v>
      </c>
      <c r="F552" s="3"/>
      <c r="G552" s="3"/>
    </row>
    <row r="553" spans="1:7" ht="27.6">
      <c r="A553" s="3" t="s">
        <v>1560</v>
      </c>
      <c r="B553" s="3" t="s">
        <v>1561</v>
      </c>
      <c r="C553" s="3" t="s">
        <v>1562</v>
      </c>
      <c r="D553" s="3"/>
      <c r="E553" s="3" t="s">
        <v>205</v>
      </c>
      <c r="F553" s="3"/>
      <c r="G553" s="3"/>
    </row>
    <row r="554" spans="1:7" ht="27.6">
      <c r="A554" s="3" t="s">
        <v>1563</v>
      </c>
      <c r="B554" s="3" t="s">
        <v>1564</v>
      </c>
      <c r="C554" s="3" t="s">
        <v>1565</v>
      </c>
      <c r="D554" s="3"/>
      <c r="E554" s="3" t="s">
        <v>205</v>
      </c>
      <c r="F554" s="3"/>
      <c r="G554" s="3"/>
    </row>
    <row r="555" spans="1:7" ht="27.6">
      <c r="A555" s="3" t="s">
        <v>1566</v>
      </c>
      <c r="B555" s="3" t="s">
        <v>1567</v>
      </c>
      <c r="C555" s="3" t="s">
        <v>1568</v>
      </c>
      <c r="D555" s="3"/>
      <c r="E555" s="3" t="s">
        <v>205</v>
      </c>
      <c r="F555" s="3"/>
      <c r="G555" s="3"/>
    </row>
    <row r="556" spans="1:7" ht="27.6">
      <c r="A556" s="3" t="s">
        <v>1569</v>
      </c>
      <c r="B556" s="3" t="s">
        <v>1570</v>
      </c>
      <c r="C556" s="3" t="s">
        <v>1571</v>
      </c>
      <c r="D556" s="3"/>
      <c r="E556" s="3" t="s">
        <v>205</v>
      </c>
      <c r="F556" s="3"/>
      <c r="G556" s="3"/>
    </row>
    <row r="557" spans="1:7" ht="27.6">
      <c r="A557" s="3" t="s">
        <v>1572</v>
      </c>
      <c r="B557" s="3" t="s">
        <v>1573</v>
      </c>
      <c r="C557" s="3" t="s">
        <v>1574</v>
      </c>
      <c r="D557" s="3"/>
      <c r="E557" s="3" t="s">
        <v>205</v>
      </c>
      <c r="F557" s="3"/>
      <c r="G557" s="3"/>
    </row>
    <row r="558" spans="1:7" ht="27.6">
      <c r="A558" s="3" t="s">
        <v>1575</v>
      </c>
      <c r="B558" s="3" t="s">
        <v>1576</v>
      </c>
      <c r="C558" s="3" t="s">
        <v>1577</v>
      </c>
      <c r="D558" s="3"/>
      <c r="E558" s="3" t="s">
        <v>205</v>
      </c>
      <c r="F558" s="3"/>
      <c r="G558" s="3"/>
    </row>
    <row r="559" spans="1:7" ht="27.6">
      <c r="A559" s="3" t="s">
        <v>1578</v>
      </c>
      <c r="B559" s="3" t="s">
        <v>1579</v>
      </c>
      <c r="C559" s="3" t="s">
        <v>1580</v>
      </c>
      <c r="D559" s="3"/>
      <c r="E559" s="3" t="s">
        <v>205</v>
      </c>
      <c r="F559" s="3"/>
      <c r="G559" s="3"/>
    </row>
    <row r="560" spans="1:7" ht="27.6">
      <c r="A560" s="3" t="s">
        <v>1581</v>
      </c>
      <c r="B560" s="3" t="s">
        <v>1582</v>
      </c>
      <c r="C560" s="3" t="s">
        <v>1583</v>
      </c>
      <c r="D560" s="3"/>
      <c r="E560" s="3" t="s">
        <v>205</v>
      </c>
      <c r="F560" s="3"/>
      <c r="G560" s="3"/>
    </row>
    <row r="561" spans="1:7" ht="27.6">
      <c r="A561" s="3" t="s">
        <v>1584</v>
      </c>
      <c r="B561" s="3" t="s">
        <v>1585</v>
      </c>
      <c r="C561" s="3" t="s">
        <v>1586</v>
      </c>
      <c r="D561" s="3"/>
      <c r="E561" s="3" t="s">
        <v>205</v>
      </c>
      <c r="F561" s="3"/>
      <c r="G561" s="3"/>
    </row>
    <row r="562" spans="1:7" ht="27.6">
      <c r="A562" s="3" t="s">
        <v>1587</v>
      </c>
      <c r="B562" s="3" t="s">
        <v>1588</v>
      </c>
      <c r="C562" s="3" t="s">
        <v>1589</v>
      </c>
      <c r="D562" s="3"/>
      <c r="E562" s="3" t="s">
        <v>205</v>
      </c>
      <c r="F562" s="3"/>
      <c r="G562" s="3"/>
    </row>
    <row r="563" spans="1:7" ht="27.6">
      <c r="A563" s="3" t="s">
        <v>1590</v>
      </c>
      <c r="B563" s="3" t="s">
        <v>1591</v>
      </c>
      <c r="C563" s="3" t="s">
        <v>1592</v>
      </c>
      <c r="D563" s="3"/>
      <c r="E563" s="3" t="s">
        <v>205</v>
      </c>
      <c r="F563" s="3"/>
      <c r="G563" s="3"/>
    </row>
    <row r="564" spans="1:7" ht="27.6">
      <c r="A564" s="3" t="s">
        <v>1593</v>
      </c>
      <c r="B564" s="3" t="s">
        <v>1594</v>
      </c>
      <c r="C564" s="3" t="s">
        <v>1595</v>
      </c>
      <c r="D564" s="3"/>
      <c r="E564" s="3" t="s">
        <v>205</v>
      </c>
      <c r="F564" s="3"/>
      <c r="G564" s="3"/>
    </row>
    <row r="565" spans="1:7" ht="27.6">
      <c r="A565" s="3" t="s">
        <v>1596</v>
      </c>
      <c r="B565" s="3" t="s">
        <v>1597</v>
      </c>
      <c r="C565" s="3" t="s">
        <v>1595</v>
      </c>
      <c r="D565" s="3"/>
      <c r="E565" s="3" t="s">
        <v>205</v>
      </c>
      <c r="F565" s="3"/>
      <c r="G565" s="3"/>
    </row>
    <row r="566" spans="1:7" ht="27.6">
      <c r="A566" s="3" t="s">
        <v>1598</v>
      </c>
      <c r="B566" s="3" t="s">
        <v>1599</v>
      </c>
      <c r="C566" s="3" t="s">
        <v>1600</v>
      </c>
      <c r="D566" s="3"/>
      <c r="E566" s="3" t="s">
        <v>205</v>
      </c>
      <c r="F566" s="3"/>
      <c r="G566" s="3"/>
    </row>
    <row r="567" spans="1:7" ht="27.6">
      <c r="A567" s="3" t="s">
        <v>1601</v>
      </c>
      <c r="B567" s="3" t="s">
        <v>1602</v>
      </c>
      <c r="C567" s="3" t="s">
        <v>1603</v>
      </c>
      <c r="D567" s="3"/>
      <c r="E567" s="3" t="s">
        <v>205</v>
      </c>
      <c r="F567" s="3"/>
      <c r="G567" s="3"/>
    </row>
    <row r="568" spans="1:7" ht="27.6">
      <c r="A568" s="3" t="s">
        <v>1604</v>
      </c>
      <c r="B568" s="3" t="s">
        <v>1605</v>
      </c>
      <c r="C568" s="3" t="s">
        <v>1606</v>
      </c>
      <c r="D568" s="3"/>
      <c r="E568" s="3" t="s">
        <v>205</v>
      </c>
      <c r="F568" s="3"/>
      <c r="G568" s="3"/>
    </row>
    <row r="569" spans="1:7" ht="27.6">
      <c r="A569" s="3" t="s">
        <v>1607</v>
      </c>
      <c r="B569" s="3" t="s">
        <v>1608</v>
      </c>
      <c r="C569" s="3" t="s">
        <v>1609</v>
      </c>
      <c r="D569" s="3"/>
      <c r="E569" s="3" t="s">
        <v>205</v>
      </c>
      <c r="F569" s="3"/>
      <c r="G569" s="3"/>
    </row>
    <row r="570" spans="1:7" ht="27.6">
      <c r="A570" s="3" t="s">
        <v>1610</v>
      </c>
      <c r="B570" s="3" t="s">
        <v>1611</v>
      </c>
      <c r="C570" s="3" t="s">
        <v>1612</v>
      </c>
      <c r="D570" s="3"/>
      <c r="E570" s="3" t="s">
        <v>205</v>
      </c>
      <c r="F570" s="3"/>
      <c r="G570" s="3"/>
    </row>
    <row r="571" spans="1:7" ht="27.6">
      <c r="A571" s="3" t="s">
        <v>1613</v>
      </c>
      <c r="B571" s="3" t="s">
        <v>1614</v>
      </c>
      <c r="C571" s="3" t="s">
        <v>1615</v>
      </c>
      <c r="D571" s="3"/>
      <c r="E571" s="3" t="s">
        <v>205</v>
      </c>
      <c r="F571" s="3"/>
      <c r="G571" s="3"/>
    </row>
    <row r="572" spans="1:7" ht="27.6">
      <c r="A572" s="3" t="s">
        <v>1616</v>
      </c>
      <c r="B572" s="3" t="s">
        <v>1617</v>
      </c>
      <c r="C572" s="3" t="s">
        <v>1618</v>
      </c>
      <c r="D572" s="3"/>
      <c r="E572" s="3" t="s">
        <v>205</v>
      </c>
      <c r="F572" s="3"/>
      <c r="G572" s="3"/>
    </row>
    <row r="573" spans="1:7" ht="27.6">
      <c r="A573" s="3" t="s">
        <v>1619</v>
      </c>
      <c r="B573" s="3" t="s">
        <v>1620</v>
      </c>
      <c r="C573" s="3" t="s">
        <v>1621</v>
      </c>
      <c r="D573" s="3"/>
      <c r="E573" s="3" t="s">
        <v>205</v>
      </c>
      <c r="F573" s="3"/>
      <c r="G573" s="3"/>
    </row>
    <row r="574" spans="1:7" ht="27.6">
      <c r="A574" s="3" t="s">
        <v>1622</v>
      </c>
      <c r="B574" s="3" t="s">
        <v>1623</v>
      </c>
      <c r="C574" s="3" t="s">
        <v>1624</v>
      </c>
      <c r="D574" s="3"/>
      <c r="E574" s="3" t="s">
        <v>205</v>
      </c>
      <c r="F574" s="3"/>
      <c r="G574" s="3"/>
    </row>
    <row r="575" spans="1:7" ht="27.6">
      <c r="A575" s="3" t="s">
        <v>1625</v>
      </c>
      <c r="B575" s="3" t="s">
        <v>1626</v>
      </c>
      <c r="C575" s="3" t="s">
        <v>1627</v>
      </c>
      <c r="D575" s="3"/>
      <c r="E575" s="3" t="s">
        <v>205</v>
      </c>
      <c r="F575" s="3"/>
      <c r="G575" s="3"/>
    </row>
    <row r="576" spans="1:7" ht="27.6">
      <c r="A576" s="3" t="s">
        <v>1628</v>
      </c>
      <c r="B576" s="3" t="s">
        <v>1629</v>
      </c>
      <c r="C576" s="3" t="s">
        <v>1630</v>
      </c>
      <c r="D576" s="3"/>
      <c r="E576" s="3" t="s">
        <v>205</v>
      </c>
      <c r="F576" s="3"/>
      <c r="G576" s="3"/>
    </row>
    <row r="577" spans="1:7" ht="27.6">
      <c r="A577" s="3" t="s">
        <v>1631</v>
      </c>
      <c r="B577" s="3" t="s">
        <v>1632</v>
      </c>
      <c r="C577" s="3" t="s">
        <v>1633</v>
      </c>
      <c r="D577" s="3"/>
      <c r="E577" s="3" t="s">
        <v>205</v>
      </c>
      <c r="F577" s="3"/>
      <c r="G577" s="3"/>
    </row>
    <row r="578" spans="1:7" ht="27.6">
      <c r="A578" s="3" t="s">
        <v>1634</v>
      </c>
      <c r="B578" s="3" t="s">
        <v>1635</v>
      </c>
      <c r="C578" s="3" t="s">
        <v>1636</v>
      </c>
      <c r="D578" s="3"/>
      <c r="E578" s="3" t="s">
        <v>205</v>
      </c>
      <c r="F578" s="3"/>
      <c r="G578" s="3"/>
    </row>
    <row r="579" spans="1:7" ht="27.6">
      <c r="A579" s="3" t="s">
        <v>1637</v>
      </c>
      <c r="B579" s="3" t="s">
        <v>1638</v>
      </c>
      <c r="C579" s="3" t="s">
        <v>1639</v>
      </c>
      <c r="D579" s="3"/>
      <c r="E579" s="3" t="s">
        <v>205</v>
      </c>
      <c r="F579" s="3"/>
      <c r="G579" s="3"/>
    </row>
    <row r="580" spans="1:7" ht="27.6">
      <c r="A580" s="3" t="s">
        <v>1640</v>
      </c>
      <c r="B580" s="3" t="s">
        <v>1641</v>
      </c>
      <c r="C580" s="3" t="s">
        <v>1642</v>
      </c>
      <c r="D580" s="3"/>
      <c r="E580" s="3" t="s">
        <v>205</v>
      </c>
      <c r="F580" s="3"/>
      <c r="G580" s="3"/>
    </row>
    <row r="581" spans="1:7" ht="27.6">
      <c r="A581" s="3" t="s">
        <v>1643</v>
      </c>
      <c r="B581" s="3" t="s">
        <v>1644</v>
      </c>
      <c r="C581" s="3" t="s">
        <v>1645</v>
      </c>
      <c r="D581" s="3"/>
      <c r="E581" s="3" t="s">
        <v>205</v>
      </c>
      <c r="F581" s="3"/>
      <c r="G581" s="3"/>
    </row>
    <row r="582" spans="1:7" ht="27.6">
      <c r="A582" s="3" t="s">
        <v>1646</v>
      </c>
      <c r="B582" s="3" t="s">
        <v>1647</v>
      </c>
      <c r="C582" s="3" t="s">
        <v>1648</v>
      </c>
      <c r="D582" s="3"/>
      <c r="E582" s="3" t="s">
        <v>205</v>
      </c>
      <c r="F582" s="3"/>
      <c r="G582" s="3"/>
    </row>
    <row r="583" spans="1:7" ht="27.6">
      <c r="A583" s="3" t="s">
        <v>1649</v>
      </c>
      <c r="B583" s="3" t="s">
        <v>1650</v>
      </c>
      <c r="C583" s="3" t="s">
        <v>1651</v>
      </c>
      <c r="D583" s="3"/>
      <c r="E583" s="3" t="s">
        <v>205</v>
      </c>
      <c r="F583" s="3"/>
      <c r="G583" s="3"/>
    </row>
    <row r="584" spans="1:7" ht="27.6">
      <c r="A584" s="3" t="s">
        <v>1652</v>
      </c>
      <c r="B584" s="3" t="s">
        <v>1653</v>
      </c>
      <c r="C584" s="3" t="s">
        <v>1654</v>
      </c>
      <c r="D584" s="3"/>
      <c r="E584" s="3" t="s">
        <v>205</v>
      </c>
      <c r="F584" s="3"/>
      <c r="G584" s="3"/>
    </row>
    <row r="585" spans="1:7" ht="27.6">
      <c r="A585" s="3" t="s">
        <v>1655</v>
      </c>
      <c r="B585" s="3" t="s">
        <v>1656</v>
      </c>
      <c r="C585" s="3" t="s">
        <v>1657</v>
      </c>
      <c r="D585" s="3"/>
      <c r="E585" s="3" t="s">
        <v>205</v>
      </c>
      <c r="F585" s="3"/>
      <c r="G585" s="3"/>
    </row>
    <row r="586" spans="1:7" ht="27.6">
      <c r="A586" s="3" t="s">
        <v>1658</v>
      </c>
      <c r="B586" s="3" t="s">
        <v>1659</v>
      </c>
      <c r="C586" s="3" t="s">
        <v>1660</v>
      </c>
      <c r="D586" s="3"/>
      <c r="E586" s="3" t="s">
        <v>205</v>
      </c>
      <c r="F586" s="3"/>
      <c r="G586" s="3"/>
    </row>
    <row r="587" spans="1:7" ht="27.6">
      <c r="A587" s="3" t="s">
        <v>1661</v>
      </c>
      <c r="B587" s="3" t="s">
        <v>1662</v>
      </c>
      <c r="C587" s="3" t="s">
        <v>1663</v>
      </c>
      <c r="D587" s="3"/>
      <c r="E587" s="3" t="s">
        <v>205</v>
      </c>
      <c r="F587" s="3"/>
      <c r="G587" s="3"/>
    </row>
    <row r="588" spans="1:7" ht="27.6">
      <c r="A588" s="3" t="s">
        <v>1664</v>
      </c>
      <c r="B588" s="3" t="s">
        <v>1665</v>
      </c>
      <c r="C588" s="3" t="s">
        <v>1666</v>
      </c>
      <c r="D588" s="3"/>
      <c r="E588" s="3" t="s">
        <v>205</v>
      </c>
      <c r="F588" s="3"/>
      <c r="G588" s="3"/>
    </row>
    <row r="589" spans="1:7" ht="27.6">
      <c r="A589" s="3" t="s">
        <v>1667</v>
      </c>
      <c r="B589" s="3" t="s">
        <v>1668</v>
      </c>
      <c r="C589" s="3" t="s">
        <v>1669</v>
      </c>
      <c r="D589" s="3"/>
      <c r="E589" s="3" t="s">
        <v>205</v>
      </c>
      <c r="F589" s="3"/>
      <c r="G589" s="3"/>
    </row>
    <row r="590" spans="1:7" ht="27.6">
      <c r="A590" s="3" t="s">
        <v>1670</v>
      </c>
      <c r="B590" s="3" t="s">
        <v>1671</v>
      </c>
      <c r="C590" s="3" t="s">
        <v>1672</v>
      </c>
      <c r="D590" s="3"/>
      <c r="E590" s="3" t="s">
        <v>205</v>
      </c>
      <c r="F590" s="3"/>
      <c r="G590" s="3"/>
    </row>
    <row r="591" spans="1:7" ht="27.6">
      <c r="A591" s="3" t="s">
        <v>1673</v>
      </c>
      <c r="B591" s="3" t="s">
        <v>1674</v>
      </c>
      <c r="C591" s="3" t="s">
        <v>1675</v>
      </c>
      <c r="D591" s="3"/>
      <c r="E591" s="3" t="s">
        <v>205</v>
      </c>
      <c r="F591" s="3"/>
      <c r="G591" s="3"/>
    </row>
    <row r="592" spans="1:7" ht="27.6">
      <c r="A592" s="3" t="s">
        <v>1676</v>
      </c>
      <c r="B592" s="3" t="s">
        <v>1677</v>
      </c>
      <c r="C592" s="3" t="s">
        <v>1678</v>
      </c>
      <c r="D592" s="3"/>
      <c r="E592" s="3" t="s">
        <v>205</v>
      </c>
      <c r="F592" s="3"/>
      <c r="G592" s="3"/>
    </row>
    <row r="593" spans="1:7" ht="27.6">
      <c r="A593" s="3" t="s">
        <v>1679</v>
      </c>
      <c r="B593" s="3" t="s">
        <v>1680</v>
      </c>
      <c r="C593" s="3" t="s">
        <v>1681</v>
      </c>
      <c r="D593" s="3"/>
      <c r="E593" s="3" t="s">
        <v>205</v>
      </c>
      <c r="F593" s="3"/>
      <c r="G593" s="3"/>
    </row>
    <row r="594" spans="1:7" ht="27.6">
      <c r="A594" s="3" t="s">
        <v>1682</v>
      </c>
      <c r="B594" s="3" t="s">
        <v>1683</v>
      </c>
      <c r="C594" s="3" t="s">
        <v>1684</v>
      </c>
      <c r="D594" s="3"/>
      <c r="E594" s="3" t="s">
        <v>205</v>
      </c>
      <c r="F594" s="3"/>
      <c r="G594" s="3"/>
    </row>
    <row r="595" spans="1:7" ht="27.6">
      <c r="A595" s="3" t="s">
        <v>1685</v>
      </c>
      <c r="B595" s="3" t="s">
        <v>1686</v>
      </c>
      <c r="C595" s="3" t="s">
        <v>1687</v>
      </c>
      <c r="D595" s="3"/>
      <c r="E595" s="3" t="s">
        <v>205</v>
      </c>
      <c r="F595" s="3"/>
      <c r="G595" s="3"/>
    </row>
    <row r="596" spans="1:7" ht="27.6">
      <c r="A596" s="3" t="s">
        <v>1688</v>
      </c>
      <c r="B596" s="3" t="s">
        <v>1689</v>
      </c>
      <c r="C596" s="3" t="s">
        <v>1690</v>
      </c>
      <c r="D596" s="3"/>
      <c r="E596" s="3" t="s">
        <v>205</v>
      </c>
      <c r="F596" s="3"/>
      <c r="G596" s="3"/>
    </row>
    <row r="597" spans="1:7" ht="27.6">
      <c r="A597" s="3" t="s">
        <v>1691</v>
      </c>
      <c r="B597" s="3" t="s">
        <v>1692</v>
      </c>
      <c r="C597" s="3" t="s">
        <v>1693</v>
      </c>
      <c r="D597" s="3"/>
      <c r="E597" s="3" t="s">
        <v>205</v>
      </c>
      <c r="F597" s="3"/>
      <c r="G597" s="3"/>
    </row>
    <row r="598" spans="1:7" ht="27.6">
      <c r="A598" s="3" t="s">
        <v>1694</v>
      </c>
      <c r="B598" s="3" t="s">
        <v>1695</v>
      </c>
      <c r="C598" s="3" t="s">
        <v>1696</v>
      </c>
      <c r="D598" s="3"/>
      <c r="E598" s="3" t="s">
        <v>205</v>
      </c>
      <c r="F598" s="3"/>
      <c r="G598" s="3"/>
    </row>
    <row r="599" spans="1:7" ht="27.6">
      <c r="A599" s="3" t="s">
        <v>1697</v>
      </c>
      <c r="B599" s="3" t="s">
        <v>1698</v>
      </c>
      <c r="C599" s="3" t="s">
        <v>1699</v>
      </c>
      <c r="D599" s="3"/>
      <c r="E599" s="3" t="s">
        <v>205</v>
      </c>
      <c r="F599" s="3"/>
      <c r="G599" s="3"/>
    </row>
    <row r="600" spans="1:7" ht="27.6">
      <c r="A600" s="3" t="s">
        <v>1700</v>
      </c>
      <c r="B600" s="3" t="s">
        <v>1701</v>
      </c>
      <c r="C600" s="3" t="s">
        <v>1702</v>
      </c>
      <c r="D600" s="3"/>
      <c r="E600" s="3" t="s">
        <v>205</v>
      </c>
      <c r="F600" s="3"/>
      <c r="G600" s="3"/>
    </row>
    <row r="601" spans="1:7" ht="27.6">
      <c r="A601" s="3" t="s">
        <v>1703</v>
      </c>
      <c r="B601" s="3" t="s">
        <v>1704</v>
      </c>
      <c r="C601" s="3" t="s">
        <v>1705</v>
      </c>
      <c r="D601" s="3"/>
      <c r="E601" s="3" t="s">
        <v>205</v>
      </c>
      <c r="F601" s="3"/>
      <c r="G601" s="3"/>
    </row>
    <row r="602" spans="1:7" ht="27.6">
      <c r="A602" s="3" t="s">
        <v>1706</v>
      </c>
      <c r="B602" s="3" t="s">
        <v>1707</v>
      </c>
      <c r="C602" s="3" t="s">
        <v>1642</v>
      </c>
      <c r="D602" s="3"/>
      <c r="E602" s="3" t="s">
        <v>205</v>
      </c>
      <c r="F602" s="3"/>
      <c r="G602" s="3"/>
    </row>
    <row r="603" spans="1:7" ht="27.6">
      <c r="A603" s="3" t="s">
        <v>1708</v>
      </c>
      <c r="B603" s="3" t="s">
        <v>1709</v>
      </c>
      <c r="C603" s="3" t="s">
        <v>1710</v>
      </c>
      <c r="D603" s="3"/>
      <c r="E603" s="3" t="s">
        <v>205</v>
      </c>
      <c r="F603" s="3"/>
      <c r="G603" s="3"/>
    </row>
    <row r="604" spans="1:7" ht="27.6">
      <c r="A604" s="3" t="s">
        <v>1711</v>
      </c>
      <c r="B604" s="3" t="s">
        <v>1712</v>
      </c>
      <c r="C604" s="3" t="s">
        <v>1713</v>
      </c>
      <c r="D604" s="3"/>
      <c r="E604" s="3" t="s">
        <v>205</v>
      </c>
      <c r="F604" s="3"/>
      <c r="G604" s="3"/>
    </row>
    <row r="605" spans="1:7" ht="27.6">
      <c r="A605" s="3" t="s">
        <v>1714</v>
      </c>
      <c r="B605" s="3" t="s">
        <v>1715</v>
      </c>
      <c r="C605" s="3" t="s">
        <v>1716</v>
      </c>
      <c r="D605" s="3"/>
      <c r="E605" s="3" t="s">
        <v>205</v>
      </c>
      <c r="F605" s="3"/>
      <c r="G605" s="3"/>
    </row>
    <row r="606" spans="1:7" ht="27.6">
      <c r="A606" s="3" t="s">
        <v>1717</v>
      </c>
      <c r="B606" s="3" t="s">
        <v>1718</v>
      </c>
      <c r="C606" s="3" t="s">
        <v>1719</v>
      </c>
      <c r="D606" s="3"/>
      <c r="E606" s="3" t="s">
        <v>205</v>
      </c>
      <c r="F606" s="3"/>
      <c r="G606" s="3"/>
    </row>
    <row r="607" spans="1:7" ht="27.6">
      <c r="A607" s="3" t="s">
        <v>1720</v>
      </c>
      <c r="B607" s="3" t="s">
        <v>1721</v>
      </c>
      <c r="C607" s="3" t="s">
        <v>1722</v>
      </c>
      <c r="D607" s="3"/>
      <c r="E607" s="3" t="s">
        <v>205</v>
      </c>
      <c r="F607" s="3"/>
      <c r="G607" s="3"/>
    </row>
    <row r="608" spans="1:7" ht="27.6">
      <c r="A608" s="3" t="s">
        <v>1723</v>
      </c>
      <c r="B608" s="3" t="s">
        <v>1724</v>
      </c>
      <c r="C608" s="3" t="s">
        <v>1725</v>
      </c>
      <c r="D608" s="3"/>
      <c r="E608" s="3" t="s">
        <v>205</v>
      </c>
      <c r="F608" s="3"/>
      <c r="G608" s="3"/>
    </row>
    <row r="609" spans="1:7" ht="27.6">
      <c r="A609" s="3" t="s">
        <v>1726</v>
      </c>
      <c r="B609" s="3" t="s">
        <v>1727</v>
      </c>
      <c r="C609" s="3" t="s">
        <v>1725</v>
      </c>
      <c r="D609" s="3"/>
      <c r="E609" s="3" t="s">
        <v>205</v>
      </c>
      <c r="F609" s="3"/>
      <c r="G609"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tabSelected="1" workbookViewId="0">
      <selection activeCell="F6" sqref="F6"/>
    </sheetView>
  </sheetViews>
  <sheetFormatPr defaultRowHeight="15.6"/>
  <cols>
    <col min="1" max="1" width="9" style="23" customWidth="1"/>
    <col min="2" max="2" width="38" style="23" customWidth="1"/>
    <col min="3" max="5" width="15" style="23" customWidth="1"/>
    <col min="6" max="6" width="17" style="23" customWidth="1"/>
    <col min="7" max="7" width="30" style="23" customWidth="1"/>
    <col min="8" max="8" width="24" customWidth="1"/>
    <col min="9" max="9" width="55" customWidth="1"/>
    <col min="10" max="10" width="38" customWidth="1"/>
    <col min="11" max="11" width="18" customWidth="1"/>
    <col min="12" max="12" width="24" customWidth="1"/>
    <col min="13" max="16384" width="8.796875" style="23"/>
  </cols>
  <sheetData>
    <row r="1" spans="1:12" ht="22.2" customHeight="1">
      <c r="A1" s="34" t="s">
        <v>1728</v>
      </c>
      <c r="B1" s="34"/>
      <c r="C1" s="34"/>
      <c r="D1" s="34"/>
      <c r="E1" s="34"/>
      <c r="F1" s="34"/>
      <c r="G1" s="34"/>
    </row>
    <row r="2" spans="1:12" ht="9.9" customHeight="1">
      <c r="A2" s="24"/>
      <c r="B2" s="24"/>
      <c r="C2" s="24"/>
      <c r="D2" s="24"/>
      <c r="E2" s="24"/>
      <c r="F2" s="24"/>
      <c r="G2" s="24"/>
    </row>
    <row r="3" spans="1:12" ht="9.9" customHeight="1">
      <c r="A3" s="35" t="s">
        <v>126</v>
      </c>
      <c r="B3" s="35"/>
      <c r="C3" s="35"/>
      <c r="D3" s="35" t="s">
        <v>1729</v>
      </c>
      <c r="E3" s="35"/>
      <c r="F3" s="25"/>
      <c r="G3" s="25"/>
    </row>
    <row r="4" spans="1:12">
      <c r="A4" s="36" t="s">
        <v>1730</v>
      </c>
      <c r="B4" s="36"/>
      <c r="C4" s="36"/>
      <c r="D4" s="36">
        <f>COUNTA(A13:A47)</f>
        <v>35</v>
      </c>
      <c r="E4" s="36"/>
      <c r="F4" s="24"/>
      <c r="G4" s="24"/>
    </row>
    <row r="5" spans="1:12">
      <c r="A5" s="36" t="s">
        <v>1731</v>
      </c>
      <c r="B5" s="36"/>
      <c r="C5" s="36"/>
      <c r="D5" s="36" t="str">
        <f>COUNTIF(C13:C47,"YES")&amp;" / "&amp;D4&amp;" ("&amp;TEXT(COUNTIF(C13:C47,"YES")/D4,"0.0%")&amp;")"</f>
        <v>29 / 35 (82.9%)</v>
      </c>
      <c r="E5" s="36"/>
      <c r="F5" s="24"/>
      <c r="G5" s="24"/>
    </row>
    <row r="6" spans="1:12">
      <c r="A6" s="36" t="s">
        <v>1732</v>
      </c>
      <c r="B6" s="36"/>
      <c r="C6" s="36"/>
      <c r="D6" s="36" t="str">
        <f>COUNTIF(D13:D47,"YES")&amp;" / "&amp;D4&amp;" ("&amp;TEXT(COUNTIF(D13:D47,"YES")/D4,"0.0%")&amp;")"</f>
        <v>25 / 35 (71.4%)</v>
      </c>
      <c r="E6" s="36"/>
      <c r="F6" s="24"/>
      <c r="G6" s="24"/>
    </row>
    <row r="7" spans="1:12">
      <c r="A7" s="36" t="s">
        <v>1744</v>
      </c>
      <c r="B7" s="36"/>
      <c r="C7" s="36"/>
      <c r="D7" s="36" t="str">
        <f>COUNTIF(E13:E47,"YES")&amp;" / "&amp;D4&amp;" ("&amp;TEXT(COUNTIF(E13:E47,"YES")/D4,"0.0%")&amp;")"</f>
        <v>30 / 35 (85.7%)</v>
      </c>
      <c r="E7" s="36"/>
      <c r="F7" s="24"/>
      <c r="G7" s="24"/>
    </row>
    <row r="8" spans="1:12">
      <c r="A8" s="36" t="s">
        <v>1745</v>
      </c>
      <c r="B8" s="36"/>
      <c r="C8" s="36"/>
      <c r="D8" s="36" t="str">
        <f>COUNTIF(F13:F47,"AGREE")&amp;" / "&amp;D4&amp;" ("&amp;TEXT(COUNTIF(F13:F47,"AGREE")/D4,"0.0%")&amp;")"</f>
        <v>20 / 35 (57.1%)</v>
      </c>
      <c r="E8" s="36"/>
      <c r="F8" s="24"/>
      <c r="G8" s="24"/>
    </row>
    <row r="9" spans="1:12">
      <c r="A9" s="36" t="s">
        <v>1733</v>
      </c>
      <c r="B9" s="36"/>
      <c r="C9" s="36"/>
      <c r="D9" s="36" t="str">
        <f>COUNTIF(F13:F47,"&lt;&gt;AGREE")&amp;" / "&amp;D4</f>
        <v>15 / 35</v>
      </c>
      <c r="E9" s="36"/>
      <c r="F9" s="24"/>
      <c r="G9" s="24"/>
    </row>
    <row r="10" spans="1:12" ht="9.9" customHeight="1">
      <c r="A10" s="36" t="s">
        <v>1734</v>
      </c>
      <c r="B10" s="36"/>
      <c r="C10" s="36"/>
      <c r="D10" s="36" t="str">
        <f>IF(COUNTIF(L13:L47,"NEEDS RECONCILIATION")=0,"READY FOR LLM BENCHMARK",COUNTIF(L13:L47,"NEEDS RECONCILIATION")&amp;" item(s) still need reconciliation")</f>
        <v>READY FOR LLM BENCHMARK</v>
      </c>
      <c r="E10" s="36"/>
      <c r="F10" s="24"/>
      <c r="G10" s="24"/>
    </row>
    <row r="11" spans="1:12" ht="9.9" customHeight="1">
      <c r="A11" s="24"/>
      <c r="B11" s="24"/>
      <c r="C11" s="24"/>
      <c r="D11" s="24"/>
      <c r="E11" s="24"/>
      <c r="F11" s="24"/>
      <c r="G11" s="24"/>
    </row>
    <row r="12" spans="1:12" ht="18.3" customHeight="1">
      <c r="A12" s="26" t="s">
        <v>18</v>
      </c>
      <c r="B12" s="26" t="s">
        <v>20</v>
      </c>
      <c r="C12" s="26" t="s">
        <v>1735</v>
      </c>
      <c r="D12" s="26" t="s">
        <v>1736</v>
      </c>
      <c r="E12" s="26" t="s">
        <v>1746</v>
      </c>
      <c r="F12" s="26" t="s">
        <v>1737</v>
      </c>
      <c r="G12" s="26" t="s">
        <v>1738</v>
      </c>
      <c r="H12" s="27" t="s">
        <v>140</v>
      </c>
      <c r="I12" s="27" t="s">
        <v>141</v>
      </c>
      <c r="J12" s="27" t="s">
        <v>142</v>
      </c>
      <c r="K12" s="27" t="s">
        <v>143</v>
      </c>
      <c r="L12" s="27" t="s">
        <v>1739</v>
      </c>
    </row>
    <row r="13" spans="1:12" ht="16.95" customHeight="1">
      <c r="A13" s="28" t="str">
        <f>Reconciliation!A7</f>
        <v>S01</v>
      </c>
      <c r="B13" s="28" t="str">
        <f>Reconciliation!B7</f>
        <v>Ordinary Portland Cement (OPC 43-grade)</v>
      </c>
      <c r="C13" s="28" t="str">
        <f>IF(AND(Reconciliation!C7&lt;&gt;"",Reconciliation!F7&lt;&gt;"",TRIM(Reconciliation!C7)=TRIM(Reconciliation!F7)),"YES","NO")</f>
        <v>YES</v>
      </c>
      <c r="D13" s="28" t="str">
        <f>IF(AND(Reconciliation!D7&lt;&gt;"",Reconciliation!G7&lt;&gt;"",TRIM(Reconciliation!D7)=TRIM(Reconciliation!G7)),"YES","NO")</f>
        <v>YES</v>
      </c>
      <c r="E13" s="28" t="str">
        <f>IF(AND(Reconciliation!E7&lt;&gt;"",Reconciliation!H7&lt;&gt;"",Reconciliation!E7=Reconciliation!H7),"YES","NO")</f>
        <v>YES</v>
      </c>
      <c r="F13" s="28" t="str">
        <f>Reconciliation!I7</f>
        <v>AGREE</v>
      </c>
      <c r="G13" s="28" t="str">
        <f t="shared" ref="G13:G47" si="0">IF(F13="AGREE","",IF(C13="NO","Normalized material; ","")&amp;IF(D13="NO","Process; ","")&amp;IF(E13="NO","Match type; ","")&amp;IF(F13="INCOMPLETE","Expert input incomplete",""))</f>
        <v/>
      </c>
      <c r="H13" s="4" t="str">
        <f>IF(Reconciliation!J7="","",Reconciliation!J7)</f>
        <v>Cement</v>
      </c>
      <c r="I13" s="4" t="str">
        <f>IF(Reconciliation!K7="","",Reconciliation!K7)</f>
        <v>Portland cement (CEM I), CEMBUREAU production mix, at plant, CEMBUREAU technology mix, EN 197-1 | RER | 600573dd</v>
      </c>
      <c r="J13" s="4" t="str">
        <f>IF(Reconciliation!L7="","",Reconciliation!L7)</f>
        <v>600573dd-dfa5-44e5-b458-8727e793ffd7</v>
      </c>
      <c r="K13" s="4" t="str">
        <f>IF(Reconciliation!M7="","",Reconciliation!M7)</f>
        <v>Direct</v>
      </c>
      <c r="L13" s="4" t="str">
        <f t="shared" ref="L13:L47" si="1">IF(AND(H13&lt;&gt;"",K13&lt;&gt;"",IF(K13="Review Required",TRUE,AND(I13&lt;&gt;"",J13&lt;&gt;""))),"COMPLETE","NEEDS RECONCILIATION")</f>
        <v>COMPLETE</v>
      </c>
    </row>
    <row r="14" spans="1:12" ht="16.95" customHeight="1">
      <c r="A14" s="28" t="str">
        <f>Reconciliation!A8</f>
        <v>S02</v>
      </c>
      <c r="B14" s="28" t="str">
        <f>Reconciliation!B8</f>
        <v>River Sand (clean, well-graded)</v>
      </c>
      <c r="C14" s="28" t="str">
        <f>IF(AND(Reconciliation!C8&lt;&gt;"",Reconciliation!F8&lt;&gt;"",TRIM(Reconciliation!C8)=TRIM(Reconciliation!F8)),"YES","NO")</f>
        <v>YES</v>
      </c>
      <c r="D14" s="28" t="str">
        <f>IF(AND(Reconciliation!D8&lt;&gt;"",Reconciliation!G8&lt;&gt;"",TRIM(Reconciliation!D8)=TRIM(Reconciliation!G8)),"YES","NO")</f>
        <v>YES</v>
      </c>
      <c r="E14" s="28" t="str">
        <f>IF(AND(Reconciliation!E8&lt;&gt;"",Reconciliation!H8&lt;&gt;"",Reconciliation!E8=Reconciliation!H8),"YES","NO")</f>
        <v>YES</v>
      </c>
      <c r="F14" s="28" t="str">
        <f>Reconciliation!I8</f>
        <v>AGREE</v>
      </c>
      <c r="G14" s="28" t="str">
        <f t="shared" si="0"/>
        <v/>
      </c>
      <c r="H14" s="4" t="str">
        <f>IF(Reconciliation!J8="","",Reconciliation!J8)</f>
        <v>Sand</v>
      </c>
      <c r="I14" s="4" t="str">
        <f>IF(Reconciliation!K8="","",Reconciliation!K8)</f>
        <v>Sand 0/2, production mix, at plant, wet and dry quarry, undried | RER | 898618b1</v>
      </c>
      <c r="J14" s="4" t="str">
        <f>IF(Reconciliation!L8="","",Reconciliation!L8)</f>
        <v>898618b1-3306-11dd-bd11-0800200c9a66</v>
      </c>
      <c r="K14" s="4" t="str">
        <f>IF(Reconciliation!M8="","",Reconciliation!M8)</f>
        <v>Direct</v>
      </c>
      <c r="L14" s="4" t="str">
        <f t="shared" si="1"/>
        <v>COMPLETE</v>
      </c>
    </row>
    <row r="15" spans="1:12" ht="16.95" customHeight="1">
      <c r="A15" s="28" t="str">
        <f>Reconciliation!A9</f>
        <v>S03</v>
      </c>
      <c r="B15" s="28" t="str">
        <f>Reconciliation!B9</f>
        <v>Natural Gravel</v>
      </c>
      <c r="C15" s="28" t="str">
        <f>IF(AND(Reconciliation!C9&lt;&gt;"",Reconciliation!F9&lt;&gt;"",TRIM(Reconciliation!C9)=TRIM(Reconciliation!F9)),"YES","NO")</f>
        <v>YES</v>
      </c>
      <c r="D15" s="28" t="str">
        <f>IF(AND(Reconciliation!D9&lt;&gt;"",Reconciliation!G9&lt;&gt;"",TRIM(Reconciliation!D9)=TRIM(Reconciliation!G9)),"YES","NO")</f>
        <v>YES</v>
      </c>
      <c r="E15" s="28" t="str">
        <f>IF(AND(Reconciliation!E9&lt;&gt;"",Reconciliation!H9&lt;&gt;"",Reconciliation!E9=Reconciliation!H9),"YES","NO")</f>
        <v>YES</v>
      </c>
      <c r="F15" s="28" t="str">
        <f>Reconciliation!I9</f>
        <v>AGREE</v>
      </c>
      <c r="G15" s="28" t="str">
        <f t="shared" si="0"/>
        <v/>
      </c>
      <c r="H15" s="4" t="str">
        <f>IF(Reconciliation!J9="","",Reconciliation!J9)</f>
        <v>Gravel</v>
      </c>
      <c r="I15" s="4" t="str">
        <f>IF(Reconciliation!K9="","",Reconciliation!K9)</f>
        <v>Gravel 2/32, production mix, at plant, wet and dry quarry, undried | RER | 898618b2</v>
      </c>
      <c r="J15" s="4" t="str">
        <f>IF(Reconciliation!L9="","",Reconciliation!L9)</f>
        <v>898618b2-3306-11dd-bd11-0800200c9a66</v>
      </c>
      <c r="K15" s="4" t="str">
        <f>IF(Reconciliation!M9="","",Reconciliation!M9)</f>
        <v>Direct</v>
      </c>
      <c r="L15" s="4" t="str">
        <f t="shared" si="1"/>
        <v>COMPLETE</v>
      </c>
    </row>
    <row r="16" spans="1:12" ht="16.95" customHeight="1">
      <c r="A16" s="28" t="str">
        <f>Reconciliation!A10</f>
        <v>S04</v>
      </c>
      <c r="B16" s="28" t="str">
        <f>Reconciliation!B10</f>
        <v>Stone</v>
      </c>
      <c r="C16" s="28" t="str">
        <f>IF(AND(Reconciliation!C10&lt;&gt;"",Reconciliation!F10&lt;&gt;"",TRIM(Reconciliation!C10)=TRIM(Reconciliation!F10)),"YES","NO")</f>
        <v>YES</v>
      </c>
      <c r="D16" s="28" t="str">
        <f>IF(AND(Reconciliation!D10&lt;&gt;"",Reconciliation!G10&lt;&gt;"",TRIM(Reconciliation!D10)=TRIM(Reconciliation!G10)),"YES","NO")</f>
        <v>YES</v>
      </c>
      <c r="E16" s="28" t="str">
        <f>IF(AND(Reconciliation!E10&lt;&gt;"",Reconciliation!H10&lt;&gt;"",Reconciliation!E10=Reconciliation!H10),"YES","NO")</f>
        <v>NO</v>
      </c>
      <c r="F16" s="28" t="str">
        <f>Reconciliation!I10</f>
        <v>PARTIAL</v>
      </c>
      <c r="G16" s="28" t="str">
        <f t="shared" si="0"/>
        <v xml:space="preserve">Match type; </v>
      </c>
      <c r="H16" s="4" t="str">
        <f>IF(Reconciliation!J10="","",Reconciliation!J10)</f>
        <v>Stone</v>
      </c>
      <c r="I16" s="4" t="str">
        <f>IF(Reconciliation!K10="","",Reconciliation!K10)</f>
        <v>Crushed stone 16/32, production mix, at plant, open pit mining, undried | RER | 898618b3</v>
      </c>
      <c r="J16" s="4" t="str">
        <f>IF(Reconciliation!L10="","",Reconciliation!L10)</f>
        <v>898618b3-3306-11dd-bd11-0800200c9a66</v>
      </c>
      <c r="K16" s="4" t="str">
        <f>IF(Reconciliation!M10="","",Reconciliation!M10)</f>
        <v>Proxy</v>
      </c>
      <c r="L16" s="4" t="str">
        <f t="shared" si="1"/>
        <v>COMPLETE</v>
      </c>
    </row>
    <row r="17" spans="1:12" ht="25.35" customHeight="1">
      <c r="A17" s="28" t="str">
        <f>Reconciliation!A11</f>
        <v>S05</v>
      </c>
      <c r="B17" s="28" t="str">
        <f>Reconciliation!B11</f>
        <v>Plain Cement Concrete (PCC M10 — 1:3:6) - Binding Layer</v>
      </c>
      <c r="C17" s="28" t="str">
        <f>IF(AND(Reconciliation!C11&lt;&gt;"",Reconciliation!F11&lt;&gt;"",TRIM(Reconciliation!C11)=TRIM(Reconciliation!F11)),"YES","NO")</f>
        <v>YES</v>
      </c>
      <c r="D17" s="28" t="str">
        <f>IF(AND(Reconciliation!D11&lt;&gt;"",Reconciliation!G11&lt;&gt;"",TRIM(Reconciliation!D11)=TRIM(Reconciliation!G11)),"YES","NO")</f>
        <v>YES</v>
      </c>
      <c r="E17" s="28" t="str">
        <f>IF(AND(Reconciliation!E11&lt;&gt;"",Reconciliation!H11&lt;&gt;"",Reconciliation!E11=Reconciliation!H11),"YES","NO")</f>
        <v>NO</v>
      </c>
      <c r="F17" s="28" t="str">
        <f>Reconciliation!I11</f>
        <v>PARTIAL</v>
      </c>
      <c r="G17" s="28" t="str">
        <f t="shared" si="0"/>
        <v xml:space="preserve">Match type; </v>
      </c>
      <c r="H17" s="4" t="str">
        <f>IF(Reconciliation!J11="","",Reconciliation!J11)</f>
        <v>Concrete</v>
      </c>
      <c r="I17" s="4" t="str">
        <f>IF(Reconciliation!K11="","",Reconciliation!K11)</f>
        <v>Pre-cast concrete, production mix, at plant, minimum reinforcement, concrete type C20/25, without consideration of casings | RER | 898618b0</v>
      </c>
      <c r="J17" s="4" t="str">
        <f>IF(Reconciliation!L11="","",Reconciliation!L11)</f>
        <v>898618b0-3306-11dd-bd11-0800200c9a66</v>
      </c>
      <c r="K17" s="4" t="str">
        <f>IF(Reconciliation!M11="","",Reconciliation!M11)</f>
        <v>Proxy</v>
      </c>
      <c r="L17" s="4" t="str">
        <f t="shared" si="1"/>
        <v>COMPLETE</v>
      </c>
    </row>
    <row r="18" spans="1:12" ht="18.3" customHeight="1">
      <c r="A18" s="28" t="str">
        <f>Reconciliation!A12</f>
        <v>S06</v>
      </c>
      <c r="B18" s="28" t="str">
        <f>Reconciliation!B12</f>
        <v>Stonecrete block</v>
      </c>
      <c r="C18" s="28" t="str">
        <f>IF(AND(Reconciliation!C12&lt;&gt;"",Reconciliation!F12&lt;&gt;"",TRIM(Reconciliation!C12)=TRIM(Reconciliation!F12)),"YES","NO")</f>
        <v>NO</v>
      </c>
      <c r="D18" s="28" t="str">
        <f>IF(AND(Reconciliation!D12&lt;&gt;"",Reconciliation!G12&lt;&gt;"",TRIM(Reconciliation!D12)=TRIM(Reconciliation!G12)),"YES","NO")</f>
        <v>NO</v>
      </c>
      <c r="E18" s="28" t="str">
        <f>IF(AND(Reconciliation!E12&lt;&gt;"",Reconciliation!H12&lt;&gt;"",Reconciliation!E12=Reconciliation!H12),"YES","NO")</f>
        <v>YES</v>
      </c>
      <c r="F18" s="28" t="str">
        <f>Reconciliation!I12</f>
        <v>PARTIAL</v>
      </c>
      <c r="G18" s="28" t="str">
        <f t="shared" si="0"/>
        <v xml:space="preserve">Normalized material; Process; </v>
      </c>
      <c r="H18" s="4" t="str">
        <f>IF(Reconciliation!J12="","",Reconciliation!J12)</f>
        <v>Stonecrete Block</v>
      </c>
      <c r="I18" s="4" t="str">
        <f>IF(Reconciliation!K12="","",Reconciliation!K12)</f>
        <v>Lightweight concrete block, production mix, at plant, expanded clay as base material | RER | 898618b6</v>
      </c>
      <c r="J18" s="4" t="str">
        <f>IF(Reconciliation!L12="","",Reconciliation!L12)</f>
        <v>898618b6-3306-11dd-bd11-0800200c9a66</v>
      </c>
      <c r="K18" s="4" t="str">
        <f>IF(Reconciliation!M12="","",Reconciliation!M12)</f>
        <v>Proxy</v>
      </c>
      <c r="L18" s="4" t="str">
        <f t="shared" si="1"/>
        <v>COMPLETE</v>
      </c>
    </row>
    <row r="19" spans="1:12" ht="16.95" customHeight="1">
      <c r="A19" s="28" t="str">
        <f>Reconciliation!A13</f>
        <v>S07</v>
      </c>
      <c r="B19" s="28" t="str">
        <f>Reconciliation!B13</f>
        <v>Rebar TMT Fe500</v>
      </c>
      <c r="C19" s="28" t="str">
        <f>IF(AND(Reconciliation!C13&lt;&gt;"",Reconciliation!F13&lt;&gt;"",TRIM(Reconciliation!C13)=TRIM(Reconciliation!F13)),"YES","NO")</f>
        <v>YES</v>
      </c>
      <c r="D19" s="28" t="str">
        <f>IF(AND(Reconciliation!D13&lt;&gt;"",Reconciliation!G13&lt;&gt;"",TRIM(Reconciliation!D13)=TRIM(Reconciliation!G13)),"YES","NO")</f>
        <v>YES</v>
      </c>
      <c r="E19" s="28" t="str">
        <f>IF(AND(Reconciliation!E13&lt;&gt;"",Reconciliation!H13&lt;&gt;"",Reconciliation!E13=Reconciliation!H13),"YES","NO")</f>
        <v>YES</v>
      </c>
      <c r="F19" s="28" t="str">
        <f>Reconciliation!I13</f>
        <v>AGREE</v>
      </c>
      <c r="G19" s="28" t="str">
        <f t="shared" si="0"/>
        <v/>
      </c>
      <c r="H19" s="4" t="str">
        <f>IF(Reconciliation!J13="","",Reconciliation!J13)</f>
        <v>Rebar</v>
      </c>
      <c r="I19" s="4" t="str">
        <f>IF(Reconciliation!K13="","",Reconciliation!K13)</f>
        <v>Steel rebar, production mix, at plant, blast furnace and electric arc furnace route, | GLO | 268a11fb</v>
      </c>
      <c r="J19" s="4" t="str">
        <f>IF(Reconciliation!L13="","",Reconciliation!L13)</f>
        <v>268a11fb-baf2-4b9e-8867-38bea0e76ef6</v>
      </c>
      <c r="K19" s="4" t="str">
        <f>IF(Reconciliation!M13="","",Reconciliation!M13)</f>
        <v>Direct</v>
      </c>
      <c r="L19" s="4" t="str">
        <f t="shared" si="1"/>
        <v>COMPLETE</v>
      </c>
    </row>
    <row r="20" spans="1:12" ht="16.95" customHeight="1">
      <c r="A20" s="28" t="str">
        <f>Reconciliation!A14</f>
        <v>S08</v>
      </c>
      <c r="B20" s="28" t="str">
        <f>Reconciliation!B14</f>
        <v>Binding Wire (soft annealed, 18-gauge)</v>
      </c>
      <c r="C20" s="28" t="str">
        <f>IF(AND(Reconciliation!C14&lt;&gt;"",Reconciliation!F14&lt;&gt;"",TRIM(Reconciliation!C14)=TRIM(Reconciliation!F14)),"YES","NO")</f>
        <v>YES</v>
      </c>
      <c r="D20" s="28" t="str">
        <f>IF(AND(Reconciliation!D14&lt;&gt;"",Reconciliation!G14&lt;&gt;"",TRIM(Reconciliation!D14)=TRIM(Reconciliation!G14)),"YES","NO")</f>
        <v>YES</v>
      </c>
      <c r="E20" s="28" t="str">
        <f>IF(AND(Reconciliation!E14&lt;&gt;"",Reconciliation!H14&lt;&gt;"",Reconciliation!E14=Reconciliation!H14),"YES","NO")</f>
        <v>YES</v>
      </c>
      <c r="F20" s="28" t="str">
        <f>Reconciliation!I14</f>
        <v>AGREE</v>
      </c>
      <c r="G20" s="28" t="str">
        <f t="shared" si="0"/>
        <v/>
      </c>
      <c r="H20" s="4" t="str">
        <f>IF(Reconciliation!J14="","",Reconciliation!J14)</f>
        <v>Wire</v>
      </c>
      <c r="I20" s="4" t="str">
        <f>IF(Reconciliation!K14="","",Reconciliation!K14)</f>
        <v>Copper wire, consumption mix, at plant, technology mix, cross section 1 mmy | EU-15 | 11bceac4</v>
      </c>
      <c r="J20" s="4" t="str">
        <f>IF(Reconciliation!L14="","",Reconciliation!L14)</f>
        <v>11bceac4-b3d8-4048-8e80-b691ecd2c261</v>
      </c>
      <c r="K20" s="4" t="str">
        <f>IF(Reconciliation!M14="","",Reconciliation!M14)</f>
        <v>Proxy</v>
      </c>
      <c r="L20" s="4" t="str">
        <f t="shared" si="1"/>
        <v>COMPLETE</v>
      </c>
    </row>
    <row r="21" spans="1:12" ht="18.3" customHeight="1">
      <c r="A21" s="28" t="str">
        <f>Reconciliation!A15</f>
        <v>S09</v>
      </c>
      <c r="B21" s="28" t="str">
        <f>Reconciliation!B15</f>
        <v>Corrugated Galvanized Iron (CGI) Sheet, 0.45 mm BMT</v>
      </c>
      <c r="C21" s="28" t="str">
        <f>IF(AND(Reconciliation!C15&lt;&gt;"",Reconciliation!F15&lt;&gt;"",TRIM(Reconciliation!C15)=TRIM(Reconciliation!F15)),"YES","NO")</f>
        <v>NO</v>
      </c>
      <c r="D21" s="28" t="str">
        <f>IF(AND(Reconciliation!D15&lt;&gt;"",Reconciliation!G15&lt;&gt;"",TRIM(Reconciliation!D15)=TRIM(Reconciliation!G15)),"YES","NO")</f>
        <v>NO</v>
      </c>
      <c r="E21" s="28" t="str">
        <f>IF(AND(Reconciliation!E15&lt;&gt;"",Reconciliation!H15&lt;&gt;"",Reconciliation!E15=Reconciliation!H15),"YES","NO")</f>
        <v>YES</v>
      </c>
      <c r="F21" s="28" t="str">
        <f>Reconciliation!I15</f>
        <v>PARTIAL</v>
      </c>
      <c r="G21" s="28" t="str">
        <f t="shared" si="0"/>
        <v xml:space="preserve">Normalized material; Process; </v>
      </c>
      <c r="H21" s="4" t="str">
        <f>IF(Reconciliation!J15="","",Reconciliation!J15)</f>
        <v>CGI Sheets</v>
      </c>
      <c r="I21" s="4" t="str">
        <f>IF(Reconciliation!K15="","",Reconciliation!K15)</f>
        <v>corrugated board sheets, production mix, at plant, technology mix, 18% primary fibre, 82 % recycled fibre | EU-27 | 7311da1a</v>
      </c>
      <c r="J21" s="4" t="str">
        <f>IF(Reconciliation!L15="","",Reconciliation!L15)</f>
        <v>7311da1a-673f-96b5-66ef-00004409928e</v>
      </c>
      <c r="K21" s="4" t="str">
        <f>IF(Reconciliation!M15="","",Reconciliation!M15)</f>
        <v>Proxy</v>
      </c>
      <c r="L21" s="4" t="str">
        <f t="shared" si="1"/>
        <v>COMPLETE</v>
      </c>
    </row>
    <row r="22" spans="1:12" ht="16.95" customHeight="1">
      <c r="A22" s="28" t="str">
        <f>Reconciliation!A16</f>
        <v>S10</v>
      </c>
      <c r="B22" s="28" t="str">
        <f>Reconciliation!B16</f>
        <v>Timber for purlin, rafter, and column post</v>
      </c>
      <c r="C22" s="28" t="str">
        <f>IF(AND(Reconciliation!C16&lt;&gt;"",Reconciliation!F16&lt;&gt;"",TRIM(Reconciliation!C16)=TRIM(Reconciliation!F16)),"YES","NO")</f>
        <v>YES</v>
      </c>
      <c r="D22" s="28" t="str">
        <f>IF(AND(Reconciliation!D16&lt;&gt;"",Reconciliation!G16&lt;&gt;"",TRIM(Reconciliation!D16)=TRIM(Reconciliation!G16)),"YES","NO")</f>
        <v>NO</v>
      </c>
      <c r="E22" s="28" t="str">
        <f>IF(AND(Reconciliation!E16&lt;&gt;"",Reconciliation!H16&lt;&gt;"",Reconciliation!E16=Reconciliation!H16),"YES","NO")</f>
        <v>YES</v>
      </c>
      <c r="F22" s="28" t="str">
        <f>Reconciliation!I16</f>
        <v>PARTIAL</v>
      </c>
      <c r="G22" s="28" t="str">
        <f t="shared" si="0"/>
        <v xml:space="preserve">Process; </v>
      </c>
      <c r="H22" s="4" t="str">
        <f>IF(Reconciliation!J16="","",Reconciliation!J16)</f>
        <v>Timber</v>
      </c>
      <c r="I22" s="4" t="str">
        <f>IF(Reconciliation!K16="","",Reconciliation!K16)</f>
        <v>Spruce wood, production mix, at saw mill, timber, 40% water content | DE | 2b61a4d6</v>
      </c>
      <c r="J22" s="4" t="str">
        <f>IF(Reconciliation!L16="","",Reconciliation!L16)</f>
        <v>2b61a4d6-bd1d-4ea3-828c-fdbdf5fca1f9</v>
      </c>
      <c r="K22" s="4" t="str">
        <f>IF(Reconciliation!M16="","",Reconciliation!M16)</f>
        <v>Proxy</v>
      </c>
      <c r="L22" s="4" t="str">
        <f t="shared" si="1"/>
        <v>COMPLETE</v>
      </c>
    </row>
    <row r="23" spans="1:12">
      <c r="A23" s="28" t="str">
        <f>Reconciliation!A17</f>
        <v>S11</v>
      </c>
      <c r="B23" s="28" t="str">
        <f>Reconciliation!B17</f>
        <v>Plaster 1:4 — External Walls, 15 mm thick</v>
      </c>
      <c r="C23" s="28" t="str">
        <f>IF(AND(Reconciliation!C17&lt;&gt;"",Reconciliation!F17&lt;&gt;"",TRIM(Reconciliation!C17)=TRIM(Reconciliation!F17)),"YES","NO")</f>
        <v>YES</v>
      </c>
      <c r="D23" s="28" t="str">
        <f>IF(AND(Reconciliation!D17&lt;&gt;"",Reconciliation!G17&lt;&gt;"",TRIM(Reconciliation!D17)=TRIM(Reconciliation!G17)),"YES","NO")</f>
        <v>YES</v>
      </c>
      <c r="E23" s="28" t="str">
        <f>IF(AND(Reconciliation!E17&lt;&gt;"",Reconciliation!H17&lt;&gt;"",Reconciliation!E17=Reconciliation!H17),"YES","NO")</f>
        <v>YES</v>
      </c>
      <c r="F23" s="28" t="str">
        <f>Reconciliation!I17</f>
        <v>AGREE</v>
      </c>
      <c r="G23" s="28" t="str">
        <f t="shared" si="0"/>
        <v/>
      </c>
      <c r="H23" s="4" t="str">
        <f>IF(Reconciliation!J17="","",Reconciliation!J17)</f>
        <v>Plaster</v>
      </c>
      <c r="I23" s="4" t="str">
        <f>IF(Reconciliation!K17="","",Reconciliation!K17)</f>
        <v>Not available</v>
      </c>
      <c r="J23" s="4" t="str">
        <f>IF(Reconciliation!L17="","",Reconciliation!L17)</f>
        <v/>
      </c>
      <c r="K23" s="4" t="str">
        <f>IF(Reconciliation!M17="","",Reconciliation!M17)</f>
        <v>Review Required</v>
      </c>
      <c r="L23" s="4" t="str">
        <f t="shared" si="1"/>
        <v>COMPLETE</v>
      </c>
    </row>
    <row r="24" spans="1:12">
      <c r="A24" s="28" t="str">
        <f>Reconciliation!A18</f>
        <v>S12</v>
      </c>
      <c r="B24" s="28" t="str">
        <f>Reconciliation!B18</f>
        <v>Plaster 1:6 — Internal Walls, 12 mm thick</v>
      </c>
      <c r="C24" s="28" t="str">
        <f>IF(AND(Reconciliation!C18&lt;&gt;"",Reconciliation!F18&lt;&gt;"",TRIM(Reconciliation!C18)=TRIM(Reconciliation!F18)),"YES","NO")</f>
        <v>YES</v>
      </c>
      <c r="D24" s="28" t="str">
        <f>IF(AND(Reconciliation!D18&lt;&gt;"",Reconciliation!G18&lt;&gt;"",TRIM(Reconciliation!D18)=TRIM(Reconciliation!G18)),"YES","NO")</f>
        <v>YES</v>
      </c>
      <c r="E24" s="28" t="str">
        <f>IF(AND(Reconciliation!E18&lt;&gt;"",Reconciliation!H18&lt;&gt;"",Reconciliation!E18=Reconciliation!H18),"YES","NO")</f>
        <v>YES</v>
      </c>
      <c r="F24" s="28" t="str">
        <f>Reconciliation!I18</f>
        <v>AGREE</v>
      </c>
      <c r="G24" s="28" t="str">
        <f t="shared" si="0"/>
        <v/>
      </c>
      <c r="H24" s="4" t="str">
        <f>IF(Reconciliation!J18="","",Reconciliation!J18)</f>
        <v>Plaster</v>
      </c>
      <c r="I24" s="4" t="str">
        <f>IF(Reconciliation!K18="","",Reconciliation!K18)</f>
        <v>Not available</v>
      </c>
      <c r="J24" s="4" t="str">
        <f>IF(Reconciliation!L18="","",Reconciliation!L18)</f>
        <v/>
      </c>
      <c r="K24" s="4" t="str">
        <f>IF(Reconciliation!M18="","",Reconciliation!M18)</f>
        <v>Review Required</v>
      </c>
      <c r="L24" s="4" t="str">
        <f t="shared" si="1"/>
        <v>COMPLETE</v>
      </c>
    </row>
    <row r="25" spans="1:12" ht="16.95" customHeight="1">
      <c r="A25" s="28" t="str">
        <f>Reconciliation!A19</f>
        <v>B01</v>
      </c>
      <c r="B25" s="28" t="str">
        <f>Reconciliation!B19</f>
        <v>Cement</v>
      </c>
      <c r="C25" s="28" t="str">
        <f>IF(AND(Reconciliation!C19&lt;&gt;"",Reconciliation!F19&lt;&gt;"",TRIM(Reconciliation!C19)=TRIM(Reconciliation!F19)),"YES","NO")</f>
        <v>YES</v>
      </c>
      <c r="D25" s="28" t="str">
        <f>IF(AND(Reconciliation!D19&lt;&gt;"",Reconciliation!G19&lt;&gt;"",TRIM(Reconciliation!D19)=TRIM(Reconciliation!G19)),"YES","NO")</f>
        <v>YES</v>
      </c>
      <c r="E25" s="28" t="str">
        <f>IF(AND(Reconciliation!E19&lt;&gt;"",Reconciliation!H19&lt;&gt;"",Reconciliation!E19=Reconciliation!H19),"YES","NO")</f>
        <v>YES</v>
      </c>
      <c r="F25" s="28" t="str">
        <f>Reconciliation!I19</f>
        <v>AGREE</v>
      </c>
      <c r="G25" s="28" t="str">
        <f t="shared" si="0"/>
        <v/>
      </c>
      <c r="H25" s="4" t="str">
        <f>IF(Reconciliation!J19="","",Reconciliation!J19)</f>
        <v>Cement</v>
      </c>
      <c r="I25" s="4" t="str">
        <f>IF(Reconciliation!K19="","",Reconciliation!K19)</f>
        <v>Portland cement (CEM I), CEMBUREAU production mix, at plant, CEMBUREAU technology mix, EN 197-1 | RER | 600573dd</v>
      </c>
      <c r="J25" s="4" t="str">
        <f>IF(Reconciliation!L19="","",Reconciliation!L19)</f>
        <v>600573dd-dfa5-44e5-b458-8727e793ffd7</v>
      </c>
      <c r="K25" s="4" t="str">
        <f>IF(Reconciliation!M19="","",Reconciliation!M19)</f>
        <v>Direct</v>
      </c>
      <c r="L25" s="4" t="str">
        <f t="shared" si="1"/>
        <v>COMPLETE</v>
      </c>
    </row>
    <row r="26" spans="1:12" ht="16.95" customHeight="1">
      <c r="A26" s="28" t="str">
        <f>Reconciliation!A20</f>
        <v>B02</v>
      </c>
      <c r="B26" s="28" t="str">
        <f>Reconciliation!B20</f>
        <v>Sand</v>
      </c>
      <c r="C26" s="28" t="str">
        <f>IF(AND(Reconciliation!C20&lt;&gt;"",Reconciliation!F20&lt;&gt;"",TRIM(Reconciliation!C20)=TRIM(Reconciliation!F20)),"YES","NO")</f>
        <v>YES</v>
      </c>
      <c r="D26" s="28" t="str">
        <f>IF(AND(Reconciliation!D20&lt;&gt;"",Reconciliation!G20&lt;&gt;"",TRIM(Reconciliation!D20)=TRIM(Reconciliation!G20)),"YES","NO")</f>
        <v>YES</v>
      </c>
      <c r="E26" s="28" t="str">
        <f>IF(AND(Reconciliation!E20&lt;&gt;"",Reconciliation!H20&lt;&gt;"",Reconciliation!E20=Reconciliation!H20),"YES","NO")</f>
        <v>YES</v>
      </c>
      <c r="F26" s="28" t="str">
        <f>Reconciliation!I20</f>
        <v>AGREE</v>
      </c>
      <c r="G26" s="28" t="str">
        <f t="shared" si="0"/>
        <v/>
      </c>
      <c r="H26" s="4" t="str">
        <f>IF(Reconciliation!J20="","",Reconciliation!J20)</f>
        <v>Sand</v>
      </c>
      <c r="I26" s="4" t="str">
        <f>IF(Reconciliation!K20="","",Reconciliation!K20)</f>
        <v>Sand 0/2, production mix, at plant, wet and dry quarry, undried | RER | 898618b1</v>
      </c>
      <c r="J26" s="4" t="str">
        <f>IF(Reconciliation!L20="","",Reconciliation!L20)</f>
        <v>898618b1-3306-11dd-bd11-0800200c9a66</v>
      </c>
      <c r="K26" s="4" t="str">
        <f>IF(Reconciliation!M20="","",Reconciliation!M20)</f>
        <v>Direct</v>
      </c>
      <c r="L26" s="4" t="str">
        <f t="shared" si="1"/>
        <v>COMPLETE</v>
      </c>
    </row>
    <row r="27" spans="1:12" ht="16.95" customHeight="1">
      <c r="A27" s="28" t="str">
        <f>Reconciliation!A21</f>
        <v>B03</v>
      </c>
      <c r="B27" s="28" t="str">
        <f>Reconciliation!B21</f>
        <v>Natural Gravel</v>
      </c>
      <c r="C27" s="28" t="str">
        <f>IF(AND(Reconciliation!C21&lt;&gt;"",Reconciliation!F21&lt;&gt;"",TRIM(Reconciliation!C21)=TRIM(Reconciliation!F21)),"YES","NO")</f>
        <v>YES</v>
      </c>
      <c r="D27" s="28" t="str">
        <f>IF(AND(Reconciliation!D21&lt;&gt;"",Reconciliation!G21&lt;&gt;"",TRIM(Reconciliation!D21)=TRIM(Reconciliation!G21)),"YES","NO")</f>
        <v>YES</v>
      </c>
      <c r="E27" s="28" t="str">
        <f>IF(AND(Reconciliation!E21&lt;&gt;"",Reconciliation!H21&lt;&gt;"",Reconciliation!E21=Reconciliation!H21),"YES","NO")</f>
        <v>YES</v>
      </c>
      <c r="F27" s="28" t="str">
        <f>Reconciliation!I21</f>
        <v>AGREE</v>
      </c>
      <c r="G27" s="28" t="str">
        <f t="shared" si="0"/>
        <v/>
      </c>
      <c r="H27" s="4" t="str">
        <f>IF(Reconciliation!J21="","",Reconciliation!J21)</f>
        <v>Gravel</v>
      </c>
      <c r="I27" s="4" t="str">
        <f>IF(Reconciliation!K21="","",Reconciliation!K21)</f>
        <v>Gravel 2/32, production mix, at plant, wet and dry quarry, undried | RER | 898618b2</v>
      </c>
      <c r="J27" s="4" t="str">
        <f>IF(Reconciliation!L21="","",Reconciliation!L21)</f>
        <v>898618b2-3306-11dd-bd11-0800200c9a66</v>
      </c>
      <c r="K27" s="4" t="str">
        <f>IF(Reconciliation!M21="","",Reconciliation!M21)</f>
        <v>Direct</v>
      </c>
      <c r="L27" s="4" t="str">
        <f t="shared" si="1"/>
        <v>COMPLETE</v>
      </c>
    </row>
    <row r="28" spans="1:12" ht="16.95" customHeight="1">
      <c r="A28" s="28" t="str">
        <f>Reconciliation!A22</f>
        <v>B04</v>
      </c>
      <c r="B28" s="28" t="str">
        <f>Reconciliation!B22</f>
        <v>Stone</v>
      </c>
      <c r="C28" s="28" t="str">
        <f>IF(AND(Reconciliation!C22&lt;&gt;"",Reconciliation!F22&lt;&gt;"",TRIM(Reconciliation!C22)=TRIM(Reconciliation!F22)),"YES","NO")</f>
        <v>YES</v>
      </c>
      <c r="D28" s="28" t="str">
        <f>IF(AND(Reconciliation!D22&lt;&gt;"",Reconciliation!G22&lt;&gt;"",TRIM(Reconciliation!D22)=TRIM(Reconciliation!G22)),"YES","NO")</f>
        <v>YES</v>
      </c>
      <c r="E28" s="28" t="str">
        <f>IF(AND(Reconciliation!E22&lt;&gt;"",Reconciliation!H22&lt;&gt;"",Reconciliation!E22=Reconciliation!H22),"YES","NO")</f>
        <v>NO</v>
      </c>
      <c r="F28" s="28" t="str">
        <f>Reconciliation!I22</f>
        <v>PARTIAL</v>
      </c>
      <c r="G28" s="28" t="str">
        <f t="shared" si="0"/>
        <v xml:space="preserve">Match type; </v>
      </c>
      <c r="H28" s="4" t="str">
        <f>IF(Reconciliation!J22="","",Reconciliation!J22)</f>
        <v>Stone</v>
      </c>
      <c r="I28" s="4" t="str">
        <f>IF(Reconciliation!K22="","",Reconciliation!K22)</f>
        <v>Crushed stone 16/32, production mix, at plant, open pit mining, undried | RER | 898618b3</v>
      </c>
      <c r="J28" s="4" t="str">
        <f>IF(Reconciliation!L22="","",Reconciliation!L22)</f>
        <v>898618b3-3306-11dd-bd11-0800200c9a66</v>
      </c>
      <c r="K28" s="4" t="str">
        <f>IF(Reconciliation!M22="","",Reconciliation!M22)</f>
        <v>Proxy</v>
      </c>
      <c r="L28" s="4" t="str">
        <f t="shared" si="1"/>
        <v>COMPLETE</v>
      </c>
    </row>
    <row r="29" spans="1:12">
      <c r="A29" s="28" t="str">
        <f>Reconciliation!A23</f>
        <v>B05</v>
      </c>
      <c r="B29" s="28" t="str">
        <f>Reconciliation!B23</f>
        <v>Soil</v>
      </c>
      <c r="C29" s="28" t="str">
        <f>IF(AND(Reconciliation!C23&lt;&gt;"",Reconciliation!F23&lt;&gt;"",TRIM(Reconciliation!C23)=TRIM(Reconciliation!F23)),"YES","NO")</f>
        <v>YES</v>
      </c>
      <c r="D29" s="28" t="str">
        <f>IF(AND(Reconciliation!D23&lt;&gt;"",Reconciliation!G23&lt;&gt;"",TRIM(Reconciliation!D23)=TRIM(Reconciliation!G23)),"YES","NO")</f>
        <v>YES</v>
      </c>
      <c r="E29" s="28" t="str">
        <f>IF(AND(Reconciliation!E23&lt;&gt;"",Reconciliation!H23&lt;&gt;"",Reconciliation!E23=Reconciliation!H23),"YES","NO")</f>
        <v>YES</v>
      </c>
      <c r="F29" s="28" t="str">
        <f>Reconciliation!I23</f>
        <v>AGREE</v>
      </c>
      <c r="G29" s="28" t="str">
        <f t="shared" si="0"/>
        <v/>
      </c>
      <c r="H29" s="4" t="str">
        <f>IF(Reconciliation!J23="","",Reconciliation!J23)</f>
        <v>Soil</v>
      </c>
      <c r="I29" s="4" t="str">
        <f>IF(Reconciliation!K23="","",Reconciliation!K23)</f>
        <v>Not available</v>
      </c>
      <c r="J29" s="4" t="str">
        <f>IF(Reconciliation!L23="","",Reconciliation!L23)</f>
        <v/>
      </c>
      <c r="K29" s="4" t="str">
        <f>IF(Reconciliation!M23="","",Reconciliation!M23)</f>
        <v>Review Required</v>
      </c>
      <c r="L29" s="4" t="str">
        <f t="shared" si="1"/>
        <v>COMPLETE</v>
      </c>
    </row>
    <row r="30" spans="1:12" ht="16.95" customHeight="1">
      <c r="A30" s="28" t="str">
        <f>Reconciliation!A24</f>
        <v>B06</v>
      </c>
      <c r="B30" s="28" t="str">
        <f>Reconciliation!B24</f>
        <v>Local Wood</v>
      </c>
      <c r="C30" s="28" t="str">
        <f>IF(AND(Reconciliation!C24&lt;&gt;"",Reconciliation!F24&lt;&gt;"",TRIM(Reconciliation!C24)=TRIM(Reconciliation!F24)),"YES","NO")</f>
        <v>YES</v>
      </c>
      <c r="D30" s="28" t="str">
        <f>IF(AND(Reconciliation!D24&lt;&gt;"",Reconciliation!G24&lt;&gt;"",TRIM(Reconciliation!D24)=TRIM(Reconciliation!G24)),"YES","NO")</f>
        <v>NO</v>
      </c>
      <c r="E30" s="28" t="str">
        <f>IF(AND(Reconciliation!E24&lt;&gt;"",Reconciliation!H24&lt;&gt;"",Reconciliation!E24=Reconciliation!H24),"YES","NO")</f>
        <v>YES</v>
      </c>
      <c r="F30" s="28" t="str">
        <f>Reconciliation!I24</f>
        <v>PARTIAL</v>
      </c>
      <c r="G30" s="28" t="str">
        <f t="shared" si="0"/>
        <v xml:space="preserve">Process; </v>
      </c>
      <c r="H30" s="4" t="str">
        <f>IF(Reconciliation!J24="","",Reconciliation!J24)</f>
        <v>Wood</v>
      </c>
      <c r="I30" s="4" t="str">
        <f>IF(Reconciliation!K24="","",Reconciliation!K24)</f>
        <v>Spruce wood, production mix, at saw mill, timber, 40% water content | DE | 2b61a4d6</v>
      </c>
      <c r="J30" s="4" t="str">
        <f>IF(Reconciliation!L24="","",Reconciliation!L24)</f>
        <v>2b61a4d6-bd1d-4ea3-828c-fdbdf5fca1f9</v>
      </c>
      <c r="K30" s="4" t="str">
        <f>IF(Reconciliation!M24="","",Reconciliation!M24)</f>
        <v>Proxy</v>
      </c>
      <c r="L30" s="4" t="str">
        <f t="shared" si="1"/>
        <v>COMPLETE</v>
      </c>
    </row>
    <row r="31" spans="1:12" ht="16.95" customHeight="1">
      <c r="A31" s="28" t="str">
        <f>Reconciliation!A25</f>
        <v>B07</v>
      </c>
      <c r="B31" s="28" t="str">
        <f>Reconciliation!B25</f>
        <v>19mm Plywood</v>
      </c>
      <c r="C31" s="28" t="str">
        <f>IF(AND(Reconciliation!C25&lt;&gt;"",Reconciliation!F25&lt;&gt;"",TRIM(Reconciliation!C25)=TRIM(Reconciliation!F25)),"YES","NO")</f>
        <v>YES</v>
      </c>
      <c r="D31" s="28" t="str">
        <f>IF(AND(Reconciliation!D25&lt;&gt;"",Reconciliation!G25&lt;&gt;"",TRIM(Reconciliation!D25)=TRIM(Reconciliation!G25)),"YES","NO")</f>
        <v>NO</v>
      </c>
      <c r="E31" s="28" t="str">
        <f>IF(AND(Reconciliation!E25&lt;&gt;"",Reconciliation!H25&lt;&gt;"",Reconciliation!E25=Reconciliation!H25),"YES","NO")</f>
        <v>YES</v>
      </c>
      <c r="F31" s="28" t="str">
        <f>Reconciliation!I25</f>
        <v>PARTIAL</v>
      </c>
      <c r="G31" s="28" t="str">
        <f t="shared" si="0"/>
        <v xml:space="preserve">Process; </v>
      </c>
      <c r="H31" s="4" t="str">
        <f>IF(Reconciliation!J25="","",Reconciliation!J25)</f>
        <v>Plywood</v>
      </c>
      <c r="I31" s="4" t="str">
        <f>IF(Reconciliation!K25="","",Reconciliation!K25)</f>
        <v>Pine wood, production mix, at saw mill, timber, 40% water content | DE | 621e64d0</v>
      </c>
      <c r="J31" s="4" t="str">
        <f>IF(Reconciliation!L25="","",Reconciliation!L25)</f>
        <v>621e64d0-f471-4023-9ebc-a52cd8ee573f</v>
      </c>
      <c r="K31" s="4" t="str">
        <f>IF(Reconciliation!M25="","",Reconciliation!M25)</f>
        <v>Proxy</v>
      </c>
      <c r="L31" s="4" t="str">
        <f t="shared" si="1"/>
        <v>COMPLETE</v>
      </c>
    </row>
    <row r="32" spans="1:12">
      <c r="A32" s="28" t="str">
        <f>Reconciliation!A26</f>
        <v>B08</v>
      </c>
      <c r="B32" s="28" t="str">
        <f>Reconciliation!B26</f>
        <v>Nail</v>
      </c>
      <c r="C32" s="28" t="str">
        <f>IF(AND(Reconciliation!C26&lt;&gt;"",Reconciliation!F26&lt;&gt;"",TRIM(Reconciliation!C26)=TRIM(Reconciliation!F26)),"YES","NO")</f>
        <v>NO</v>
      </c>
      <c r="D32" s="28" t="str">
        <f>IF(AND(Reconciliation!D26&lt;&gt;"",Reconciliation!G26&lt;&gt;"",TRIM(Reconciliation!D26)=TRIM(Reconciliation!G26)),"YES","NO")</f>
        <v>YES</v>
      </c>
      <c r="E32" s="28" t="str">
        <f>IF(AND(Reconciliation!E26&lt;&gt;"",Reconciliation!H26&lt;&gt;"",Reconciliation!E26=Reconciliation!H26),"YES","NO")</f>
        <v>YES</v>
      </c>
      <c r="F32" s="28" t="str">
        <f>Reconciliation!I26</f>
        <v>PARTIAL</v>
      </c>
      <c r="G32" s="28" t="str">
        <f t="shared" si="0"/>
        <v xml:space="preserve">Normalized material; </v>
      </c>
      <c r="H32" s="4" t="str">
        <f>IF(Reconciliation!J26="","",Reconciliation!J26)</f>
        <v>Steel nail</v>
      </c>
      <c r="I32" s="4" t="str">
        <f>IF(Reconciliation!K26="","",Reconciliation!K26)</f>
        <v>Not available</v>
      </c>
      <c r="J32" s="4" t="str">
        <f>IF(Reconciliation!L26="","",Reconciliation!L26)</f>
        <v/>
      </c>
      <c r="K32" s="4" t="str">
        <f>IF(Reconciliation!M26="","",Reconciliation!M26)</f>
        <v>Review Required</v>
      </c>
      <c r="L32" s="4" t="str">
        <f t="shared" si="1"/>
        <v>COMPLETE</v>
      </c>
    </row>
    <row r="33" spans="1:12" ht="16.95" customHeight="1">
      <c r="A33" s="28" t="str">
        <f>Reconciliation!A27</f>
        <v>B09</v>
      </c>
      <c r="B33" s="28" t="str">
        <f>Reconciliation!B27</f>
        <v>10mm Rebar</v>
      </c>
      <c r="C33" s="28" t="str">
        <f>IF(AND(Reconciliation!C27&lt;&gt;"",Reconciliation!F27&lt;&gt;"",TRIM(Reconciliation!C27)=TRIM(Reconciliation!F27)),"YES","NO")</f>
        <v>YES</v>
      </c>
      <c r="D33" s="28" t="str">
        <f>IF(AND(Reconciliation!D27&lt;&gt;"",Reconciliation!G27&lt;&gt;"",TRIM(Reconciliation!D27)=TRIM(Reconciliation!G27)),"YES","NO")</f>
        <v>YES</v>
      </c>
      <c r="E33" s="28" t="str">
        <f>IF(AND(Reconciliation!E27&lt;&gt;"",Reconciliation!H27&lt;&gt;"",Reconciliation!E27=Reconciliation!H27),"YES","NO")</f>
        <v>YES</v>
      </c>
      <c r="F33" s="28" t="str">
        <f>Reconciliation!I27</f>
        <v>AGREE</v>
      </c>
      <c r="G33" s="28" t="str">
        <f t="shared" si="0"/>
        <v/>
      </c>
      <c r="H33" s="4" t="str">
        <f>IF(Reconciliation!J27="","",Reconciliation!J27)</f>
        <v>Rebar</v>
      </c>
      <c r="I33" s="4" t="str">
        <f>IF(Reconciliation!K27="","",Reconciliation!K27)</f>
        <v>Steel rebar, production mix, at plant, blast furnace and electric arc furnace route, | GLO | 268a11fb</v>
      </c>
      <c r="J33" s="4" t="str">
        <f>IF(Reconciliation!L27="","",Reconciliation!L27)</f>
        <v>268a11fb-baf2-4b9e-8867-38bea0e76ef6</v>
      </c>
      <c r="K33" s="4" t="str">
        <f>IF(Reconciliation!M27="","",Reconciliation!M27)</f>
        <v>Direct</v>
      </c>
      <c r="L33" s="4" t="str">
        <f t="shared" si="1"/>
        <v>COMPLETE</v>
      </c>
    </row>
    <row r="34" spans="1:12" ht="16.95" customHeight="1">
      <c r="A34" s="28" t="str">
        <f>Reconciliation!A28</f>
        <v>B10</v>
      </c>
      <c r="B34" s="28" t="str">
        <f>Reconciliation!B28</f>
        <v>7mm Rebar</v>
      </c>
      <c r="C34" s="28" t="str">
        <f>IF(AND(Reconciliation!C28&lt;&gt;"",Reconciliation!F28&lt;&gt;"",TRIM(Reconciliation!C28)=TRIM(Reconciliation!F28)),"YES","NO")</f>
        <v>YES</v>
      </c>
      <c r="D34" s="28" t="str">
        <f>IF(AND(Reconciliation!D28&lt;&gt;"",Reconciliation!G28&lt;&gt;"",TRIM(Reconciliation!D28)=TRIM(Reconciliation!G28)),"YES","NO")</f>
        <v>YES</v>
      </c>
      <c r="E34" s="28" t="str">
        <f>IF(AND(Reconciliation!E28&lt;&gt;"",Reconciliation!H28&lt;&gt;"",Reconciliation!E28=Reconciliation!H28),"YES","NO")</f>
        <v>YES</v>
      </c>
      <c r="F34" s="28" t="str">
        <f>Reconciliation!I28</f>
        <v>AGREE</v>
      </c>
      <c r="G34" s="28" t="str">
        <f t="shared" si="0"/>
        <v/>
      </c>
      <c r="H34" s="4" t="str">
        <f>IF(Reconciliation!J28="","",Reconciliation!J28)</f>
        <v>Rebar</v>
      </c>
      <c r="I34" s="4" t="str">
        <f>IF(Reconciliation!K28="","",Reconciliation!K28)</f>
        <v>Steel rebar, production mix, at plant, blast furnace and electric arc furnace route, | GLO | 268a11fb</v>
      </c>
      <c r="J34" s="4" t="str">
        <f>IF(Reconciliation!L28="","",Reconciliation!L28)</f>
        <v>268a11fb-baf2-4b9e-8867-38bea0e76ef6</v>
      </c>
      <c r="K34" s="4" t="str">
        <f>IF(Reconciliation!M28="","",Reconciliation!M28)</f>
        <v>Direct</v>
      </c>
      <c r="L34" s="4" t="str">
        <f t="shared" si="1"/>
        <v>COMPLETE</v>
      </c>
    </row>
    <row r="35" spans="1:12" ht="27.6">
      <c r="A35" s="28" t="str">
        <f>Reconciliation!A29</f>
        <v>B11</v>
      </c>
      <c r="B35" s="28" t="str">
        <f>Reconciliation!B29</f>
        <v>Binding Wire</v>
      </c>
      <c r="C35" s="28" t="str">
        <f>IF(AND(Reconciliation!C29&lt;&gt;"",Reconciliation!F29&lt;&gt;"",TRIM(Reconciliation!C29)=TRIM(Reconciliation!F29)),"YES","NO")</f>
        <v>YES</v>
      </c>
      <c r="D35" s="28" t="str">
        <f>IF(AND(Reconciliation!D29&lt;&gt;"",Reconciliation!G29&lt;&gt;"",TRIM(Reconciliation!D29)=TRIM(Reconciliation!G29)),"YES","NO")</f>
        <v>NO</v>
      </c>
      <c r="E35" s="28" t="str">
        <f>IF(AND(Reconciliation!E29&lt;&gt;"",Reconciliation!H29&lt;&gt;"",Reconciliation!E29=Reconciliation!H29),"YES","NO")</f>
        <v>NO</v>
      </c>
      <c r="F35" s="28" t="str">
        <f>Reconciliation!I29</f>
        <v>PARTIAL</v>
      </c>
      <c r="G35" s="28" t="str">
        <f t="shared" si="0"/>
        <v xml:space="preserve">Process; Match type; </v>
      </c>
      <c r="H35" s="4" t="str">
        <f>IF(Reconciliation!J29="","",Reconciliation!J29)</f>
        <v>Wire</v>
      </c>
      <c r="I35" s="4" t="str">
        <f>IF(Reconciliation!K29="","",Reconciliation!K29)</f>
        <v>Copper wire, consumption mix, at plant, technology mix, cross section 1 mmy | EU-15 | 11bceac4</v>
      </c>
      <c r="J35" s="4" t="str">
        <f>IF(Reconciliation!L29="","",Reconciliation!L29)</f>
        <v>11bceac4-b3d8-4048-8e80-b691ecd2c261</v>
      </c>
      <c r="K35" s="4" t="str">
        <f>IF(Reconciliation!M29="","",Reconciliation!M29)</f>
        <v>Proxy</v>
      </c>
      <c r="L35" s="4" t="str">
        <f t="shared" si="1"/>
        <v>COMPLETE</v>
      </c>
    </row>
    <row r="36" spans="1:12" ht="18.3" customHeight="1">
      <c r="A36" s="28" t="str">
        <f>Reconciliation!A30</f>
        <v>B12</v>
      </c>
      <c r="B36" s="28" t="str">
        <f>Reconciliation!B30</f>
        <v>24 Gauge CGI Sheets</v>
      </c>
      <c r="C36" s="28" t="str">
        <f>IF(AND(Reconciliation!C30&lt;&gt;"",Reconciliation!F30&lt;&gt;"",TRIM(Reconciliation!C30)=TRIM(Reconciliation!F30)),"YES","NO")</f>
        <v>NO</v>
      </c>
      <c r="D36" s="28" t="str">
        <f>IF(AND(Reconciliation!D30&lt;&gt;"",Reconciliation!G30&lt;&gt;"",TRIM(Reconciliation!D30)=TRIM(Reconciliation!G30)),"YES","NO")</f>
        <v>NO</v>
      </c>
      <c r="E36" s="28" t="str">
        <f>IF(AND(Reconciliation!E30&lt;&gt;"",Reconciliation!H30&lt;&gt;"",Reconciliation!E30=Reconciliation!H30),"YES","NO")</f>
        <v>YES</v>
      </c>
      <c r="F36" s="28" t="str">
        <f>Reconciliation!I30</f>
        <v>PARTIAL</v>
      </c>
      <c r="G36" s="28" t="str">
        <f t="shared" si="0"/>
        <v xml:space="preserve">Normalized material; Process; </v>
      </c>
      <c r="H36" s="4" t="str">
        <f>IF(Reconciliation!J30="","",Reconciliation!J30)</f>
        <v>CGI Sheets</v>
      </c>
      <c r="I36" s="4" t="str">
        <f>IF(Reconciliation!K30="","",Reconciliation!K30)</f>
        <v>corrugated board sheets, production mix, at plant, technology mix, 18% primary fibre, 82 % recycled fibre | EU-27 | 7311da1a</v>
      </c>
      <c r="J36" s="4" t="str">
        <f>IF(Reconciliation!L30="","",Reconciliation!L30)</f>
        <v>7311da1a-673f-96b5-66ef-00004409928e</v>
      </c>
      <c r="K36" s="4" t="str">
        <f>IF(Reconciliation!M30="","",Reconciliation!M30)</f>
        <v>Proxy</v>
      </c>
      <c r="L36" s="4" t="str">
        <f t="shared" si="1"/>
        <v>COMPLETE</v>
      </c>
    </row>
    <row r="37" spans="1:12" ht="16.95" customHeight="1">
      <c r="A37" s="28" t="str">
        <f>Reconciliation!A31</f>
        <v>B13</v>
      </c>
      <c r="B37" s="28" t="str">
        <f>Reconciliation!B31</f>
        <v>3mm Commercial Plywood</v>
      </c>
      <c r="C37" s="28" t="str">
        <f>IF(AND(Reconciliation!C31&lt;&gt;"",Reconciliation!F31&lt;&gt;"",TRIM(Reconciliation!C31)=TRIM(Reconciliation!F31)),"YES","NO")</f>
        <v>YES</v>
      </c>
      <c r="D37" s="28" t="str">
        <f>IF(AND(Reconciliation!D31&lt;&gt;"",Reconciliation!G31&lt;&gt;"",TRIM(Reconciliation!D31)=TRIM(Reconciliation!G31)),"YES","NO")</f>
        <v>NO</v>
      </c>
      <c r="E37" s="28" t="str">
        <f>IF(AND(Reconciliation!E31&lt;&gt;"",Reconciliation!H31&lt;&gt;"",Reconciliation!E31=Reconciliation!H31),"YES","NO")</f>
        <v>YES</v>
      </c>
      <c r="F37" s="28" t="str">
        <f>Reconciliation!I31</f>
        <v>PARTIAL</v>
      </c>
      <c r="G37" s="28" t="str">
        <f t="shared" si="0"/>
        <v xml:space="preserve">Process; </v>
      </c>
      <c r="H37" s="4" t="str">
        <f>IF(Reconciliation!J31="","",Reconciliation!J31)</f>
        <v>Plywood</v>
      </c>
      <c r="I37" s="4" t="str">
        <f>IF(Reconciliation!K31="","",Reconciliation!K31)</f>
        <v>Pine wood, production mix, at saw mill, timber, 40% water content | DE | 621e64d0</v>
      </c>
      <c r="J37" s="4" t="str">
        <f>IF(Reconciliation!L31="","",Reconciliation!L31)</f>
        <v>621e64d0-f471-4023-9ebc-a52cd8ee573f</v>
      </c>
      <c r="K37" s="4" t="str">
        <f>IF(Reconciliation!M31="","",Reconciliation!M31)</f>
        <v>Proxy</v>
      </c>
      <c r="L37" s="4" t="str">
        <f t="shared" si="1"/>
        <v>COMPLETE</v>
      </c>
    </row>
    <row r="38" spans="1:12">
      <c r="A38" s="28" t="str">
        <f>Reconciliation!A32</f>
        <v>B14</v>
      </c>
      <c r="B38" s="28" t="str">
        <f>Reconciliation!B32</f>
        <v>Bamboo</v>
      </c>
      <c r="C38" s="28" t="str">
        <f>IF(AND(Reconciliation!C32&lt;&gt;"",Reconciliation!F32&lt;&gt;"",TRIM(Reconciliation!C32)=TRIM(Reconciliation!F32)),"YES","NO")</f>
        <v>YES</v>
      </c>
      <c r="D38" s="28" t="str">
        <f>IF(AND(Reconciliation!D32&lt;&gt;"",Reconciliation!G32&lt;&gt;"",TRIM(Reconciliation!D32)=TRIM(Reconciliation!G32)),"YES","NO")</f>
        <v>YES</v>
      </c>
      <c r="E38" s="28" t="str">
        <f>IF(AND(Reconciliation!E32&lt;&gt;"",Reconciliation!H32&lt;&gt;"",Reconciliation!E32=Reconciliation!H32),"YES","NO")</f>
        <v>YES</v>
      </c>
      <c r="F38" s="28" t="str">
        <f>Reconciliation!I32</f>
        <v>AGREE</v>
      </c>
      <c r="G38" s="28" t="str">
        <f t="shared" si="0"/>
        <v/>
      </c>
      <c r="H38" s="4" t="str">
        <f>IF(Reconciliation!J32="","",Reconciliation!J32)</f>
        <v>Bamboo</v>
      </c>
      <c r="I38" s="4" t="str">
        <f>IF(Reconciliation!K32="","",Reconciliation!K32)</f>
        <v>Not available</v>
      </c>
      <c r="J38" s="4" t="str">
        <f>IF(Reconciliation!L32="","",Reconciliation!L32)</f>
        <v/>
      </c>
      <c r="K38" s="4" t="str">
        <f>IF(Reconciliation!M32="","",Reconciliation!M32)</f>
        <v>Review Required</v>
      </c>
      <c r="L38" s="4" t="str">
        <f t="shared" si="1"/>
        <v>COMPLETE</v>
      </c>
    </row>
    <row r="39" spans="1:12" ht="16.95" customHeight="1">
      <c r="A39" s="28" t="str">
        <f>Reconciliation!A33</f>
        <v>A01</v>
      </c>
      <c r="B39" s="28" t="str">
        <f>Reconciliation!B33</f>
        <v>Cement</v>
      </c>
      <c r="C39" s="28" t="str">
        <f>IF(AND(Reconciliation!C33&lt;&gt;"",Reconciliation!F33&lt;&gt;"",TRIM(Reconciliation!C33)=TRIM(Reconciliation!F33)),"YES","NO")</f>
        <v>YES</v>
      </c>
      <c r="D39" s="28" t="str">
        <f>IF(AND(Reconciliation!D33&lt;&gt;"",Reconciliation!G33&lt;&gt;"",TRIM(Reconciliation!D33)=TRIM(Reconciliation!G33)),"YES","NO")</f>
        <v>YES</v>
      </c>
      <c r="E39" s="28" t="str">
        <f>IF(AND(Reconciliation!E33&lt;&gt;"",Reconciliation!H33&lt;&gt;"",Reconciliation!E33=Reconciliation!H33),"YES","NO")</f>
        <v>YES</v>
      </c>
      <c r="F39" s="28" t="str">
        <f>Reconciliation!I33</f>
        <v>AGREE</v>
      </c>
      <c r="G39" s="28" t="str">
        <f t="shared" si="0"/>
        <v/>
      </c>
      <c r="H39" s="4" t="str">
        <f>IF(Reconciliation!J33="","",Reconciliation!J33)</f>
        <v>Cement</v>
      </c>
      <c r="I39" s="4" t="str">
        <f>IF(Reconciliation!K33="","",Reconciliation!K33)</f>
        <v>Portland cement (CEM I), CEMBUREAU production mix, at plant, CEMBUREAU technology mix, EN 197-1 | RER | 600573dd</v>
      </c>
      <c r="J39" s="4" t="str">
        <f>IF(Reconciliation!L33="","",Reconciliation!L33)</f>
        <v>600573dd-dfa5-44e5-b458-8727e793ffd7</v>
      </c>
      <c r="K39" s="4" t="str">
        <f>IF(Reconciliation!M33="","",Reconciliation!M33)</f>
        <v>Direct</v>
      </c>
      <c r="L39" s="4" t="str">
        <f t="shared" si="1"/>
        <v>COMPLETE</v>
      </c>
    </row>
    <row r="40" spans="1:12" ht="16.95" customHeight="1">
      <c r="A40" s="28" t="str">
        <f>Reconciliation!A34</f>
        <v>A02</v>
      </c>
      <c r="B40" s="28" t="str">
        <f>Reconciliation!B34</f>
        <v>Sand</v>
      </c>
      <c r="C40" s="28" t="str">
        <f>IF(AND(Reconciliation!C34&lt;&gt;"",Reconciliation!F34&lt;&gt;"",TRIM(Reconciliation!C34)=TRIM(Reconciliation!F34)),"YES","NO")</f>
        <v>YES</v>
      </c>
      <c r="D40" s="28" t="str">
        <f>IF(AND(Reconciliation!D34&lt;&gt;"",Reconciliation!G34&lt;&gt;"",TRIM(Reconciliation!D34)=TRIM(Reconciliation!G34)),"YES","NO")</f>
        <v>YES</v>
      </c>
      <c r="E40" s="28" t="str">
        <f>IF(AND(Reconciliation!E34&lt;&gt;"",Reconciliation!H34&lt;&gt;"",Reconciliation!E34=Reconciliation!H34),"YES","NO")</f>
        <v>YES</v>
      </c>
      <c r="F40" s="28" t="str">
        <f>Reconciliation!I34</f>
        <v>AGREE</v>
      </c>
      <c r="G40" s="28" t="str">
        <f t="shared" si="0"/>
        <v/>
      </c>
      <c r="H40" s="4" t="str">
        <f>IF(Reconciliation!J34="","",Reconciliation!J34)</f>
        <v>Sand</v>
      </c>
      <c r="I40" s="4" t="str">
        <f>IF(Reconciliation!K34="","",Reconciliation!K34)</f>
        <v>Sand 0/2, production mix, at plant, wet and dry quarry, undried | RER | 898618b1</v>
      </c>
      <c r="J40" s="4" t="str">
        <f>IF(Reconciliation!L34="","",Reconciliation!L34)</f>
        <v>898618b1-3306-11dd-bd11-0800200c9a66</v>
      </c>
      <c r="K40" s="4" t="str">
        <f>IF(Reconciliation!M34="","",Reconciliation!M34)</f>
        <v>Direct</v>
      </c>
      <c r="L40" s="4" t="str">
        <f t="shared" si="1"/>
        <v>COMPLETE</v>
      </c>
    </row>
    <row r="41" spans="1:12" ht="16.95" customHeight="1">
      <c r="A41" s="28" t="str">
        <f>Reconciliation!A35</f>
        <v>A03</v>
      </c>
      <c r="B41" s="28" t="str">
        <f>Reconciliation!B35</f>
        <v>Natural Gravel</v>
      </c>
      <c r="C41" s="28" t="str">
        <f>IF(AND(Reconciliation!C35&lt;&gt;"",Reconciliation!F35&lt;&gt;"",TRIM(Reconciliation!C35)=TRIM(Reconciliation!F35)),"YES","NO")</f>
        <v>YES</v>
      </c>
      <c r="D41" s="28" t="str">
        <f>IF(AND(Reconciliation!D35&lt;&gt;"",Reconciliation!G35&lt;&gt;"",TRIM(Reconciliation!D35)=TRIM(Reconciliation!G35)),"YES","NO")</f>
        <v>YES</v>
      </c>
      <c r="E41" s="28" t="str">
        <f>IF(AND(Reconciliation!E35&lt;&gt;"",Reconciliation!H35&lt;&gt;"",Reconciliation!E35=Reconciliation!H35),"YES","NO")</f>
        <v>YES</v>
      </c>
      <c r="F41" s="28" t="str">
        <f>Reconciliation!I35</f>
        <v>AGREE</v>
      </c>
      <c r="G41" s="28" t="str">
        <f t="shared" si="0"/>
        <v/>
      </c>
      <c r="H41" s="4" t="str">
        <f>IF(Reconciliation!J35="","",Reconciliation!J35)</f>
        <v>Gravel</v>
      </c>
      <c r="I41" s="4" t="str">
        <f>IF(Reconciliation!K35="","",Reconciliation!K35)</f>
        <v>Gravel 2/32, production mix, at plant, wet and dry quarry, undried | RER | 898618b2</v>
      </c>
      <c r="J41" s="4" t="str">
        <f>IF(Reconciliation!L35="","",Reconciliation!L35)</f>
        <v>898618b2-3306-11dd-bd11-0800200c9a66</v>
      </c>
      <c r="K41" s="4" t="str">
        <f>IF(Reconciliation!M35="","",Reconciliation!M35)</f>
        <v>Direct</v>
      </c>
      <c r="L41" s="4" t="str">
        <f t="shared" si="1"/>
        <v>COMPLETE</v>
      </c>
    </row>
    <row r="42" spans="1:12">
      <c r="A42" s="28" t="str">
        <f>Reconciliation!A36</f>
        <v>A04</v>
      </c>
      <c r="B42" s="28" t="str">
        <f>Reconciliation!B36</f>
        <v>Soil Blocks</v>
      </c>
      <c r="C42" s="28" t="str">
        <f>IF(AND(Reconciliation!C36&lt;&gt;"",Reconciliation!F36&lt;&gt;"",TRIM(Reconciliation!C36)=TRIM(Reconciliation!F36)),"YES","NO")</f>
        <v>NO</v>
      </c>
      <c r="D42" s="28" t="str">
        <f>IF(AND(Reconciliation!D36&lt;&gt;"",Reconciliation!G36&lt;&gt;"",TRIM(Reconciliation!D36)=TRIM(Reconciliation!G36)),"YES","NO")</f>
        <v>YES</v>
      </c>
      <c r="E42" s="28" t="str">
        <f>IF(AND(Reconciliation!E36&lt;&gt;"",Reconciliation!H36&lt;&gt;"",Reconciliation!E36=Reconciliation!H36),"YES","NO")</f>
        <v>YES</v>
      </c>
      <c r="F42" s="28" t="str">
        <f>Reconciliation!I36</f>
        <v>PARTIAL</v>
      </c>
      <c r="G42" s="28" t="str">
        <f t="shared" si="0"/>
        <v xml:space="preserve">Normalized material; </v>
      </c>
      <c r="H42" s="4" t="str">
        <f>IF(Reconciliation!J36="","",Reconciliation!J36)</f>
        <v>Soil</v>
      </c>
      <c r="I42" s="4" t="str">
        <f>IF(Reconciliation!K36="","",Reconciliation!K36)</f>
        <v>Not available</v>
      </c>
      <c r="J42" s="4" t="str">
        <f>IF(Reconciliation!L36="","",Reconciliation!L36)</f>
        <v/>
      </c>
      <c r="K42" s="4" t="str">
        <f>IF(Reconciliation!M36="","",Reconciliation!M36)</f>
        <v>Review Required</v>
      </c>
      <c r="L42" s="4" t="str">
        <f t="shared" si="1"/>
        <v>COMPLETE</v>
      </c>
    </row>
    <row r="43" spans="1:12" ht="27.6">
      <c r="A43" s="28" t="str">
        <f>Reconciliation!A37</f>
        <v>A05</v>
      </c>
      <c r="B43" s="28" t="str">
        <f>Reconciliation!B37</f>
        <v>Wood</v>
      </c>
      <c r="C43" s="28" t="str">
        <f>IF(AND(Reconciliation!C37&lt;&gt;"",Reconciliation!F37&lt;&gt;"",TRIM(Reconciliation!C37)=TRIM(Reconciliation!F37)),"YES","NO")</f>
        <v>YES</v>
      </c>
      <c r="D43" s="28" t="str">
        <f>IF(AND(Reconciliation!D37&lt;&gt;"",Reconciliation!G37&lt;&gt;"",TRIM(Reconciliation!D37)=TRIM(Reconciliation!G37)),"YES","NO")</f>
        <v>NO</v>
      </c>
      <c r="E43" s="28" t="str">
        <f>IF(AND(Reconciliation!E37&lt;&gt;"",Reconciliation!H37&lt;&gt;"",Reconciliation!E37=Reconciliation!H37),"YES","NO")</f>
        <v>NO</v>
      </c>
      <c r="F43" s="28" t="str">
        <f>Reconciliation!I37</f>
        <v>PARTIAL</v>
      </c>
      <c r="G43" s="28" t="str">
        <f t="shared" si="0"/>
        <v xml:space="preserve">Process; Match type; </v>
      </c>
      <c r="H43" s="4" t="str">
        <f>IF(Reconciliation!J37="","",Reconciliation!J37)</f>
        <v>Wood</v>
      </c>
      <c r="I43" s="4" t="str">
        <f>IF(Reconciliation!K37="","",Reconciliation!K37)</f>
        <v>Spruce wood, production mix, at saw mill, timber, 40% water content | DE | 2b61a4d6</v>
      </c>
      <c r="J43" s="4" t="str">
        <f>IF(Reconciliation!L37="","",Reconciliation!L37)</f>
        <v>2b61a4d6-bd1d-4ea3-828c-fdbdf5fca1f9</v>
      </c>
      <c r="K43" s="4" t="str">
        <f>IF(Reconciliation!M37="","",Reconciliation!M37)</f>
        <v>Proxy</v>
      </c>
      <c r="L43" s="4" t="str">
        <f t="shared" si="1"/>
        <v>COMPLETE</v>
      </c>
    </row>
    <row r="44" spans="1:12">
      <c r="A44" s="28" t="str">
        <f>Reconciliation!A38</f>
        <v>A06</v>
      </c>
      <c r="B44" s="28" t="str">
        <f>Reconciliation!B38</f>
        <v>Bamboo</v>
      </c>
      <c r="C44" s="28" t="str">
        <f>IF(AND(Reconciliation!C38&lt;&gt;"",Reconciliation!F38&lt;&gt;"",TRIM(Reconciliation!C38)=TRIM(Reconciliation!F38)),"YES","NO")</f>
        <v>YES</v>
      </c>
      <c r="D44" s="28" t="str">
        <f>IF(AND(Reconciliation!D38&lt;&gt;"",Reconciliation!G38&lt;&gt;"",TRIM(Reconciliation!D38)=TRIM(Reconciliation!G38)),"YES","NO")</f>
        <v>YES</v>
      </c>
      <c r="E44" s="28" t="str">
        <f>IF(AND(Reconciliation!E38&lt;&gt;"",Reconciliation!H38&lt;&gt;"",Reconciliation!E38=Reconciliation!H38),"YES","NO")</f>
        <v>YES</v>
      </c>
      <c r="F44" s="28" t="str">
        <f>Reconciliation!I38</f>
        <v>AGREE</v>
      </c>
      <c r="G44" s="28" t="str">
        <f t="shared" si="0"/>
        <v/>
      </c>
      <c r="H44" s="4" t="str">
        <f>IF(Reconciliation!J38="","",Reconciliation!J38)</f>
        <v>Bamboo</v>
      </c>
      <c r="I44" s="4" t="str">
        <f>IF(Reconciliation!K38="","",Reconciliation!K38)</f>
        <v>Not available</v>
      </c>
      <c r="J44" s="4" t="str">
        <f>IF(Reconciliation!L38="","",Reconciliation!L38)</f>
        <v/>
      </c>
      <c r="K44" s="4" t="str">
        <f>IF(Reconciliation!M38="","",Reconciliation!M38)</f>
        <v>Review Required</v>
      </c>
      <c r="L44" s="4" t="str">
        <f t="shared" si="1"/>
        <v>COMPLETE</v>
      </c>
    </row>
    <row r="45" spans="1:12" ht="16.95" customHeight="1">
      <c r="A45" s="28" t="str">
        <f>Reconciliation!A39</f>
        <v>A07</v>
      </c>
      <c r="B45" s="28" t="str">
        <f>Reconciliation!B39</f>
        <v>Rebar</v>
      </c>
      <c r="C45" s="28" t="str">
        <f>IF(AND(Reconciliation!C39&lt;&gt;"",Reconciliation!F39&lt;&gt;"",TRIM(Reconciliation!C39)=TRIM(Reconciliation!F39)),"YES","NO")</f>
        <v>YES</v>
      </c>
      <c r="D45" s="28" t="str">
        <f>IF(AND(Reconciliation!D39&lt;&gt;"",Reconciliation!G39&lt;&gt;"",TRIM(Reconciliation!D39)=TRIM(Reconciliation!G39)),"YES","NO")</f>
        <v>YES</v>
      </c>
      <c r="E45" s="28" t="str">
        <f>IF(AND(Reconciliation!E39&lt;&gt;"",Reconciliation!H39&lt;&gt;"",Reconciliation!E39=Reconciliation!H39),"YES","NO")</f>
        <v>YES</v>
      </c>
      <c r="F45" s="28" t="str">
        <f>Reconciliation!I39</f>
        <v>AGREE</v>
      </c>
      <c r="G45" s="28" t="str">
        <f t="shared" si="0"/>
        <v/>
      </c>
      <c r="H45" s="4" t="str">
        <f>IF(Reconciliation!J39="","",Reconciliation!J39)</f>
        <v>Rebar</v>
      </c>
      <c r="I45" s="4" t="str">
        <f>IF(Reconciliation!K39="","",Reconciliation!K39)</f>
        <v>Steel rebar, production mix, at plant, blast furnace and electric arc furnace route, | GLO | 268a11fb</v>
      </c>
      <c r="J45" s="4" t="str">
        <f>IF(Reconciliation!L39="","",Reconciliation!L39)</f>
        <v>268a11fb-baf2-4b9e-8867-38bea0e76ef6</v>
      </c>
      <c r="K45" s="4" t="str">
        <f>IF(Reconciliation!M39="","",Reconciliation!M39)</f>
        <v>Direct</v>
      </c>
      <c r="L45" s="4" t="str">
        <f t="shared" si="1"/>
        <v>COMPLETE</v>
      </c>
    </row>
    <row r="46" spans="1:12">
      <c r="A46" s="28" t="str">
        <f>Reconciliation!A40</f>
        <v>A08</v>
      </c>
      <c r="B46" s="28" t="str">
        <f>Reconciliation!B40</f>
        <v>Soil</v>
      </c>
      <c r="C46" s="28" t="str">
        <f>IF(AND(Reconciliation!C40&lt;&gt;"",Reconciliation!F40&lt;&gt;"",TRIM(Reconciliation!C40)=TRIM(Reconciliation!F40)),"YES","NO")</f>
        <v>YES</v>
      </c>
      <c r="D46" s="28" t="str">
        <f>IF(AND(Reconciliation!D40&lt;&gt;"",Reconciliation!G40&lt;&gt;"",TRIM(Reconciliation!D40)=TRIM(Reconciliation!G40)),"YES","NO")</f>
        <v>YES</v>
      </c>
      <c r="E46" s="28" t="str">
        <f>IF(AND(Reconciliation!E40&lt;&gt;"",Reconciliation!H40&lt;&gt;"",Reconciliation!E40=Reconciliation!H40),"YES","NO")</f>
        <v>YES</v>
      </c>
      <c r="F46" s="28" t="str">
        <f>Reconciliation!I40</f>
        <v>AGREE</v>
      </c>
      <c r="G46" s="28" t="str">
        <f t="shared" si="0"/>
        <v/>
      </c>
      <c r="H46" s="4" t="str">
        <f>IF(Reconciliation!J40="","",Reconciliation!J40)</f>
        <v>Soil</v>
      </c>
      <c r="I46" s="4" t="str">
        <f>IF(Reconciliation!K40="","",Reconciliation!K40)</f>
        <v>Not available</v>
      </c>
      <c r="J46" s="4" t="str">
        <f>IF(Reconciliation!L40="","",Reconciliation!L40)</f>
        <v/>
      </c>
      <c r="K46" s="4" t="str">
        <f>IF(Reconciliation!M40="","",Reconciliation!M40)</f>
        <v>Review Required</v>
      </c>
      <c r="L46" s="4" t="str">
        <f t="shared" si="1"/>
        <v>COMPLETE</v>
      </c>
    </row>
    <row r="47" spans="1:12" ht="17.399999999999999" customHeight="1">
      <c r="A47" s="28" t="str">
        <f>Reconciliation!A41</f>
        <v>A09</v>
      </c>
      <c r="B47" s="28" t="str">
        <f>Reconciliation!B41</f>
        <v>CGI Sheets</v>
      </c>
      <c r="C47" s="28" t="str">
        <f>IF(AND(Reconciliation!C41&lt;&gt;"",Reconciliation!F41&lt;&gt;"",TRIM(Reconciliation!C41)=TRIM(Reconciliation!F41)),"YES","NO")</f>
        <v>NO</v>
      </c>
      <c r="D47" s="28" t="str">
        <f>IF(AND(Reconciliation!D41&lt;&gt;"",Reconciliation!G41&lt;&gt;"",TRIM(Reconciliation!D41)=TRIM(Reconciliation!G41)),"YES","NO")</f>
        <v>NO</v>
      </c>
      <c r="E47" s="28" t="str">
        <f>IF(AND(Reconciliation!E41&lt;&gt;"",Reconciliation!H41&lt;&gt;"",Reconciliation!E41=Reconciliation!H41),"YES","NO")</f>
        <v>YES</v>
      </c>
      <c r="F47" s="28" t="str">
        <f>Reconciliation!I41</f>
        <v>PARTIAL</v>
      </c>
      <c r="G47" s="28" t="str">
        <f t="shared" si="0"/>
        <v xml:space="preserve">Normalized material; Process; </v>
      </c>
      <c r="H47" s="4" t="str">
        <f>IF(Reconciliation!J41="","",Reconciliation!J41)</f>
        <v>CGI Sheets</v>
      </c>
      <c r="I47" s="4" t="str">
        <f>IF(Reconciliation!K41="","",Reconciliation!K41)</f>
        <v>corrugated board sheets, production mix, at plant, technology mix, 18% primary fibre, 82 % recycled fibre | EU-27 | 7311da1a</v>
      </c>
      <c r="J47" s="4" t="str">
        <f>IF(Reconciliation!L41="","",Reconciliation!L41)</f>
        <v>7311da1a-673f-96b5-66ef-00004409928e</v>
      </c>
      <c r="K47" s="4" t="str">
        <f>IF(Reconciliation!M41="","",Reconciliation!M41)</f>
        <v>Proxy</v>
      </c>
      <c r="L47" s="4" t="str">
        <f t="shared" si="1"/>
        <v>COMPLETE</v>
      </c>
    </row>
    <row r="48" spans="1:12">
      <c r="A48" s="24"/>
      <c r="B48" s="24"/>
      <c r="C48" s="24"/>
      <c r="D48" s="24"/>
      <c r="E48" s="24"/>
      <c r="F48" s="24"/>
      <c r="G48" s="24"/>
    </row>
    <row r="49" spans="1:7">
      <c r="A49" s="24"/>
      <c r="B49" s="24"/>
      <c r="C49" s="24"/>
      <c r="D49" s="24"/>
      <c r="E49" s="24"/>
      <c r="F49" s="24"/>
      <c r="G49" s="24"/>
    </row>
    <row r="50" spans="1:7">
      <c r="A50" s="24"/>
      <c r="B50" s="24"/>
      <c r="C50" s="24"/>
      <c r="D50" s="24"/>
      <c r="E50" s="24"/>
      <c r="F50" s="24"/>
      <c r="G50" s="24"/>
    </row>
  </sheetData>
  <mergeCells count="17">
    <mergeCell ref="A8:C8"/>
    <mergeCell ref="D8:E8"/>
    <mergeCell ref="A9:C9"/>
    <mergeCell ref="D9:E9"/>
    <mergeCell ref="A10:C10"/>
    <mergeCell ref="D10:E10"/>
    <mergeCell ref="A5:C5"/>
    <mergeCell ref="D5:E5"/>
    <mergeCell ref="A6:C6"/>
    <mergeCell ref="D6:E6"/>
    <mergeCell ref="A7:C7"/>
    <mergeCell ref="D7:E7"/>
    <mergeCell ref="A1:G1"/>
    <mergeCell ref="A3:C3"/>
    <mergeCell ref="D3:E3"/>
    <mergeCell ref="A4:C4"/>
    <mergeCell ref="D4:E4"/>
  </mergeCells>
  <conditionalFormatting sqref="B10">
    <cfRule type="expression" dxfId="5" priority="3">
      <formula>B10="READY FOR LLM BENCHMARK"</formula>
    </cfRule>
    <cfRule type="expression" dxfId="4" priority="4">
      <formula>B10&lt;&gt;"READY FOR LLM BENCHMARK"</formula>
    </cfRule>
  </conditionalFormatting>
  <conditionalFormatting sqref="D10:E10">
    <cfRule type="expression" dxfId="3" priority="5">
      <formula>D10="READY FOR LLM BENCHMARK"</formula>
    </cfRule>
    <cfRule type="expression" dxfId="2" priority="6">
      <formula>D10&lt;&gt;"READY FOR LLM BENCHMARK"</formula>
    </cfRule>
  </conditionalFormatting>
  <conditionalFormatting sqref="L13:L47">
    <cfRule type="expression" dxfId="1" priority="1">
      <formula>L13="COMPLETE"</formula>
    </cfRule>
    <cfRule type="expression" dxfId="0" priority="2">
      <formula>L13="NEEDS RECONCILIATION"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Expert_A</vt:lpstr>
      <vt:lpstr>Expert_B</vt:lpstr>
      <vt:lpstr>Reconciliation</vt:lpstr>
      <vt:lpstr>ELCD_Catalog</vt:lpstr>
      <vt:lpstr>QC_Summary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Pawan Bhattarai</cp:lastModifiedBy>
  <dcterms:modified xsi:type="dcterms:W3CDTF">2026-08-22T14:43:16Z</dcterms:modified>
</cp:coreProperties>
</file>